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hidePivotFieldList="1"/>
  <mc:AlternateContent xmlns:mc="http://schemas.openxmlformats.org/markup-compatibility/2006">
    <mc:Choice Requires="x15">
      <x15ac:absPath xmlns:x15ac="http://schemas.microsoft.com/office/spreadsheetml/2010/11/ac" url="D:\Final project\"/>
    </mc:Choice>
  </mc:AlternateContent>
  <xr:revisionPtr revIDLastSave="0" documentId="13_ncr:1_{D7D1F0BC-E00C-40E9-B2A5-09F720BE30A5}" xr6:coauthVersionLast="47" xr6:coauthVersionMax="47" xr10:uidLastSave="{00000000-0000-0000-0000-000000000000}"/>
  <bookViews>
    <workbookView xWindow="-110" yWindow="-110" windowWidth="19420" windowHeight="10300" xr2:uid="{00000000-000D-0000-FFFF-FFFF00000000}"/>
  </bookViews>
  <sheets>
    <sheet name="Dashboard I" sheetId="6" r:id="rId1"/>
    <sheet name="Student_AI_Usage_Dataset" sheetId="2" r:id="rId2"/>
    <sheet name="Data Dictionary" sheetId="1" r:id="rId3"/>
    <sheet name="Pivot" sheetId="5" r:id="rId4"/>
  </sheets>
  <definedNames>
    <definedName name="ExternalData_1" localSheetId="1" hidden="1">Student_AI_Usage_Dataset!$A$1:$O$101</definedName>
    <definedName name="Slicer_Age_Group">#N/A</definedName>
    <definedName name="Slicer_ai_tools_used">#N/A</definedName>
    <definedName name="Slicer_education_level">#N/A</definedName>
    <definedName name="Slicer_Grades_After_Ai_">#N/A</definedName>
    <definedName name="Slicer_Grades_before_Ai_">#N/A</definedName>
    <definedName name="Slicer_purpose_of_ai">#N/A</definedName>
    <definedName name="Slicer_Study_Hours">#N/A</definedName>
    <definedName name="Slicer_uses_ai">#N/A</definedName>
  </definedNames>
  <calcPr calcId="191029"/>
  <pivotCaches>
    <pivotCache cacheId="1403" r:id="rId5"/>
    <pivotCache cacheId="1406" r:id="rId6"/>
    <pivotCache cacheId="1409" r:id="rId7"/>
    <pivotCache cacheId="1412" r:id="rId8"/>
    <pivotCache cacheId="1415" r:id="rId9"/>
    <pivotCache cacheId="1418" r:id="rId10"/>
    <pivotCache cacheId="1421" r:id="rId11"/>
    <pivotCache cacheId="1424" r:id="rId12"/>
    <pivotCache cacheId="1427" r:id="rId13"/>
    <pivotCache cacheId="1430" r:id="rId14"/>
    <pivotCache cacheId="1433" r:id="rId15"/>
    <pivotCache cacheId="1436" r:id="rId16"/>
    <pivotCache cacheId="1439" r:id="rId17"/>
    <pivotCache cacheId="1442" r:id="rId18"/>
    <pivotCache cacheId="1445" r:id="rId19"/>
    <pivotCache cacheId="1448" r:id="rId20"/>
  </pivotCaches>
  <extLst>
    <ext xmlns:x14="http://schemas.microsoft.com/office/spreadsheetml/2009/9/main" uri="{876F7934-8845-4945-9796-88D515C7AA90}">
      <x14:pivotCaches>
        <pivotCache cacheId="1144"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_AI_Usage_Dataset_ca9e1100-7345-432d-930b-18c72bce08f4" name="Student_AI_Usage_Dataset" connection="Query - Student_AI_Usage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4" i="6" l="1"/>
  <c r="Q4" i="6"/>
  <c r="M4" i="6"/>
  <c r="J4" i="6"/>
  <c r="G4" i="6"/>
  <c r="D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D6E260-60A7-43FB-86A3-93F51FE488EC}" keepAlive="1" name="ModelConnection_ExternalData_1" description="Data Model" type="5" refreshedVersion="8" minRefreshableVersion="5" saveData="1">
    <dbPr connection="Data Model Connection" command="Student_AI_Usage_Dataset" commandType="3"/>
    <extLst>
      <ext xmlns:x15="http://schemas.microsoft.com/office/spreadsheetml/2010/11/main" uri="{DE250136-89BD-433C-8126-D09CA5730AF9}">
        <x15:connection id="" model="1"/>
      </ext>
    </extLst>
  </connection>
  <connection id="2" xr16:uid="{74D901EA-156B-4EAF-93B5-81683E6434E7}" name="Query - Student_AI_Usage_Dataset" description="Connection to the 'Student_AI_Usage_Dataset' query in the workbook." type="100" refreshedVersion="8" minRefreshableVersion="5">
    <extLst>
      <ext xmlns:x15="http://schemas.microsoft.com/office/spreadsheetml/2010/11/main" uri="{DE250136-89BD-433C-8126-D09CA5730AF9}">
        <x15:connection id="a4260033-2596-4fa9-b206-51ba2ffb37ef"/>
      </ext>
    </extLst>
  </connection>
  <connection id="3" xr16:uid="{471759BA-F03B-47A2-88B2-9CBF2E6FFF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<sst xmlns="http://schemas.openxmlformats.org/spreadsheetml/2006/main" count="1015" uniqueCount="84">
  <si>
    <t>Std_ID</t>
  </si>
  <si>
    <t>age</t>
  </si>
  <si>
    <t>education_level</t>
  </si>
  <si>
    <t>study_hours_per_day</t>
  </si>
  <si>
    <t>uses_ai</t>
  </si>
  <si>
    <t>ai_tools_used</t>
  </si>
  <si>
    <t>purpose_of_ai</t>
  </si>
  <si>
    <t>grades_before_ai</t>
  </si>
  <si>
    <t>grades_after_ai</t>
  </si>
  <si>
    <t>daily_screen_time_hours</t>
  </si>
  <si>
    <t>Age_Group</t>
  </si>
  <si>
    <t>Study_Hours</t>
  </si>
  <si>
    <t>Screen_time</t>
  </si>
  <si>
    <t>Grades_before_Ai_</t>
  </si>
  <si>
    <t>Grades_After_Ai_</t>
  </si>
  <si>
    <t>College</t>
  </si>
  <si>
    <t>No</t>
  </si>
  <si>
    <t>None</t>
  </si>
  <si>
    <t>18-19</t>
  </si>
  <si>
    <t>3hrs below</t>
  </si>
  <si>
    <t>61-70 Marks</t>
  </si>
  <si>
    <t>School</t>
  </si>
  <si>
    <t>Yes</t>
  </si>
  <si>
    <t>Copilot</t>
  </si>
  <si>
    <t>Research</t>
  </si>
  <si>
    <t>14-15</t>
  </si>
  <si>
    <t>50-60 Marks</t>
  </si>
  <si>
    <t>Homework</t>
  </si>
  <si>
    <t>4-5hrs</t>
  </si>
  <si>
    <t>71 Marks above</t>
  </si>
  <si>
    <t>71 Marks Above</t>
  </si>
  <si>
    <t>16-17</t>
  </si>
  <si>
    <t>Gemini</t>
  </si>
  <si>
    <t>ChatGPT</t>
  </si>
  <si>
    <t>6hrs above</t>
  </si>
  <si>
    <t>Coding</t>
  </si>
  <si>
    <t>Column Name</t>
  </si>
  <si>
    <t>Data Type</t>
  </si>
  <si>
    <t>Description</t>
  </si>
  <si>
    <t>Text (Categorical)</t>
  </si>
  <si>
    <t>Age category of the student (e.g., 15–18, 19–22, 23–26).</t>
  </si>
  <si>
    <t>Education_level</t>
  </si>
  <si>
    <t>Current level of education of the student (e.g., High School, Diploma, Undergraduate, Postgraduate).</t>
  </si>
  <si>
    <t>Uses_ai</t>
  </si>
  <si>
    <t>Text (Binary/Categorical)</t>
  </si>
  <si>
    <t>Indicates whether the student uses AI tools for learning purposes (Yes/No).</t>
  </si>
  <si>
    <t>Ai_tools_used</t>
  </si>
  <si>
    <t>Text (Categorical/Multiple Values)</t>
  </si>
  <si>
    <t>AI tools used by the student, such as ChatGPT, Gemini, Copilot, Claude, etc.</t>
  </si>
  <si>
    <t>Purpose_of_ai</t>
  </si>
  <si>
    <t>Main reason for using AI, such as research, assignments, studying, problem-solving, writing, or exam preparation.</t>
  </si>
  <si>
    <t>Numeric (Continuous)</t>
  </si>
  <si>
    <t>Average number of hours the student spends studying per day or week.</t>
  </si>
  <si>
    <t>Average number of hours spent using digital devices per day.</t>
  </si>
  <si>
    <t>Academic grade, score, or GPA achieved before the student started using AI tools.</t>
  </si>
  <si>
    <t>Academic grade, score, or GPA achieved after the student started using AI tools.</t>
  </si>
  <si>
    <t>Grades_before_Ai</t>
  </si>
  <si>
    <t xml:space="preserve">Avg Grde bfr Ai </t>
  </si>
  <si>
    <t>Avg Age</t>
  </si>
  <si>
    <t>Avg Study Hour</t>
  </si>
  <si>
    <t>Avg Screen time</t>
  </si>
  <si>
    <t xml:space="preserve">Avg btw Grades </t>
  </si>
  <si>
    <t>Summarize Student AI Usage Dataset</t>
  </si>
  <si>
    <t>Data Dictionary Student AI Usage Dataset</t>
  </si>
  <si>
    <t>Grand Total</t>
  </si>
  <si>
    <t>Age Group</t>
  </si>
  <si>
    <t>Uses AI</t>
  </si>
  <si>
    <t>AI Tools</t>
  </si>
  <si>
    <t>Purpose AI</t>
  </si>
  <si>
    <t>Screen Time</t>
  </si>
  <si>
    <t>Study Hour</t>
  </si>
  <si>
    <t>Grade Before AI</t>
  </si>
  <si>
    <t>Total Students</t>
  </si>
  <si>
    <t>Education levl</t>
  </si>
  <si>
    <t xml:space="preserve">Total Student </t>
  </si>
  <si>
    <t>Avg Grde after Ai</t>
  </si>
  <si>
    <t>Grade After AI</t>
  </si>
  <si>
    <t>Students AI Usage Analytics Dashboard</t>
  </si>
  <si>
    <t>Avg Grade Before AI</t>
  </si>
  <si>
    <t>Avg Grade After AI</t>
  </si>
  <si>
    <t>≤ 2 Hours</t>
  </si>
  <si>
    <t>3–4 Hours</t>
  </si>
  <si>
    <t>≥ 5 Hours</t>
  </si>
  <si>
    <t>Avg Change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</si>
</sst>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22"/>
      <color rgb="FFFCF6F5"/>
      <name val="Calibri"/>
      <family val="2"/>
      <scheme val="minor"/>
    </font>
  </fonts>
  <fills count="6">
    <fill>
      <patternFill patternType="none"/>
    </fill>
    <fill>
      <patternFill patternType="gray125"/>
    </fill>
    <fill>
      <patternFill patternType="solid">
        <fgColor rgb="FF2BAE66"/>
        <bgColor indexed="64"/>
      </patternFill>
    </fill>
    <fill>
      <patternFill patternType="solid">
        <fgColor rgb="FFADEFD1"/>
        <bgColor indexed="64"/>
      </patternFill>
    </fill>
    <fill>
      <patternFill patternType="solid">
        <fgColor rgb="FF603F83"/>
        <bgColor indexed="64"/>
      </patternFill>
    </fill>
    <fill>
      <patternFill patternType="solid">
        <fgColor theme="0"/>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1">
    <xf numFmtId="0" fontId="0" fillId="0" borderId="0" xfId="0"/>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1" xfId="0" applyFont="1" applyFill="1" applyBorder="1"/>
    <xf numFmtId="0" fontId="1" fillId="0" borderId="2" xfId="0" applyFont="1" applyFill="1" applyBorder="1"/>
    <xf numFmtId="0" fontId="0" fillId="0" borderId="0" xfId="0" applyAlignment="1">
      <alignment horizontal="center"/>
    </xf>
    <xf numFmtId="0" fontId="0" fillId="0" borderId="0" xfId="0" applyFill="1" applyAlignment="1">
      <alignment horizontal="center"/>
    </xf>
    <xf numFmtId="3" fontId="0" fillId="0" borderId="0" xfId="0" applyNumberFormat="1" applyFill="1" applyAlignment="1">
      <alignment horizontal="center"/>
    </xf>
    <xf numFmtId="0" fontId="0" fillId="3" borderId="0" xfId="0" applyFill="1" applyAlignment="1">
      <alignment horizontal="center"/>
    </xf>
    <xf numFmtId="3" fontId="0" fillId="3" borderId="0" xfId="0" applyNumberFormat="1" applyFill="1" applyAlignment="1">
      <alignment horizontal="center"/>
    </xf>
    <xf numFmtId="0" fontId="0" fillId="3" borderId="0" xfId="0" applyNumberFormat="1" applyFill="1" applyAlignment="1">
      <alignment horizontal="center"/>
    </xf>
    <xf numFmtId="0" fontId="0" fillId="3" borderId="0" xfId="0" applyFill="1"/>
    <xf numFmtId="0" fontId="0" fillId="3" borderId="0" xfId="0" applyFill="1" applyAlignment="1">
      <alignment horizontal="center"/>
    </xf>
    <xf numFmtId="0" fontId="0" fillId="4" borderId="0" xfId="0" applyFill="1"/>
    <xf numFmtId="0" fontId="0" fillId="5" borderId="0" xfId="0" applyFill="1"/>
    <xf numFmtId="0" fontId="0" fillId="2" borderId="0" xfId="0" applyFill="1"/>
    <xf numFmtId="0" fontId="2" fillId="2" borderId="0" xfId="0" applyFont="1" applyFill="1" applyAlignment="1">
      <alignment horizontal="left"/>
    </xf>
    <xf numFmtId="0" fontId="0" fillId="2" borderId="0" xfId="0" applyFill="1" applyAlignment="1">
      <alignment horizontal="left"/>
    </xf>
    <xf numFmtId="0" fontId="0" fillId="3" borderId="0" xfId="0" applyFill="1" applyAlignment="1">
      <alignment horizontal="left"/>
    </xf>
  </cellXfs>
  <cellStyles count="1">
    <cellStyle name="Normal" xfId="0" builtinId="0"/>
  </cellStyles>
  <dxfs count="649">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font>
        <color rgb="FF603F83"/>
      </font>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fill>
        <patternFill patternType="solid">
          <bgColor rgb="FFADEFD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ADEFD1"/>
      </font>
    </dxf>
  </dxfs>
  <tableStyles count="2" defaultTableStyle="TableStyleMedium7" defaultPivotStyle="PivotStyleLight16">
    <tableStyle name="Slicer Style 1" pivot="0" table="0" count="4" xr9:uid="{92850AD4-4EAE-4FFD-8B8C-6B5F2D470238}">
      <tableStyleElement type="wholeTable" dxfId="540"/>
    </tableStyle>
    <tableStyle name="Table Style 1" pivot="0" count="1" xr9:uid="{5C1AA213-BB9A-4EAB-864D-04A744EBDC3E}">
      <tableStyleElement type="wholeTable" dxfId="648"/>
    </tableStyle>
  </tableStyles>
  <colors>
    <mruColors>
      <color rgb="FF603F83"/>
      <color rgb="FFADEFD1"/>
      <color rgb="FF2BAE66"/>
      <color rgb="FFFCF6F5"/>
    </mruColors>
  </colors>
  <extLst>
    <ext xmlns:x14="http://schemas.microsoft.com/office/spreadsheetml/2009/9/main" uri="{46F421CA-312F-682f-3DD2-61675219B42D}">
      <x14:dxfs count="3">
        <dxf>
          <font>
            <color rgb="FFFCF6F5"/>
          </font>
        </dxf>
        <dxf>
          <font>
            <color rgb="FFADEFD1"/>
          </font>
        </dxf>
        <dxf>
          <font>
            <color rgb="FF603F83"/>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AE66"/>
          </a:solidFill>
          <a:ln>
            <a:noFill/>
          </a:ln>
          <a:effectLst/>
        </c:spPr>
      </c:pivotFmt>
      <c:pivotFmt>
        <c:idx val="2"/>
        <c:spPr>
          <a:solidFill>
            <a:srgbClr val="ADEFD1"/>
          </a:solidFill>
          <a:ln>
            <a:noFill/>
          </a:ln>
          <a:effectLst/>
        </c:spPr>
      </c:pivotFmt>
      <c:pivotFmt>
        <c:idx val="3"/>
        <c:spPr>
          <a:solidFill>
            <a:srgbClr val="603F83"/>
          </a:solidFill>
          <a:ln>
            <a:noFill/>
          </a:ln>
          <a:effectLst/>
        </c:spPr>
      </c:pivotFmt>
      <c:pivotFmt>
        <c:idx val="4"/>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AE66"/>
          </a:solidFill>
          <a:ln>
            <a:noFill/>
          </a:ln>
          <a:effectLst/>
        </c:spPr>
      </c:pivotFmt>
      <c:pivotFmt>
        <c:idx val="6"/>
        <c:spPr>
          <a:solidFill>
            <a:srgbClr val="2BAE66"/>
          </a:solidFill>
          <a:ln>
            <a:noFill/>
          </a:ln>
          <a:effectLst/>
        </c:spPr>
      </c:pivotFmt>
      <c:pivotFmt>
        <c:idx val="7"/>
        <c:spPr>
          <a:solidFill>
            <a:srgbClr val="2BAE66"/>
          </a:solidFill>
          <a:ln>
            <a:noFill/>
          </a:ln>
          <a:effectLst/>
        </c:spPr>
      </c:pivotFmt>
    </c:pivotFmts>
    <c:plotArea>
      <c:layout/>
      <c:barChart>
        <c:barDir val="col"/>
        <c:grouping val="clustered"/>
        <c:varyColors val="0"/>
        <c:ser>
          <c:idx val="0"/>
          <c:order val="0"/>
          <c:tx>
            <c:strRef>
              <c:f>Pivot!$B$7</c:f>
              <c:strCache>
                <c:ptCount val="1"/>
                <c:pt idx="0">
                  <c:v>Total</c:v>
                </c:pt>
              </c:strCache>
            </c:strRef>
          </c:tx>
          <c:spPr>
            <a:solidFill>
              <a:srgbClr val="2BAE66"/>
            </a:solidFill>
            <a:ln>
              <a:noFill/>
            </a:ln>
            <a:effectLst/>
          </c:spPr>
          <c:invertIfNegative val="0"/>
          <c:dPt>
            <c:idx val="0"/>
            <c:invertIfNegative val="0"/>
            <c:bubble3D val="0"/>
            <c:spPr>
              <a:solidFill>
                <a:srgbClr val="2BAE66"/>
              </a:solidFill>
              <a:ln>
                <a:noFill/>
              </a:ln>
              <a:effectLst/>
            </c:spPr>
            <c:extLst>
              <c:ext xmlns:c16="http://schemas.microsoft.com/office/drawing/2014/chart" uri="{C3380CC4-5D6E-409C-BE32-E72D297353CC}">
                <c16:uniqueId val="{00000001-7AE3-4ED9-B11D-00B18297EF9B}"/>
              </c:ext>
            </c:extLst>
          </c:dPt>
          <c:dPt>
            <c:idx val="1"/>
            <c:invertIfNegative val="0"/>
            <c:bubble3D val="0"/>
            <c:spPr>
              <a:solidFill>
                <a:srgbClr val="2BAE66"/>
              </a:solidFill>
              <a:ln>
                <a:noFill/>
              </a:ln>
              <a:effectLst/>
            </c:spPr>
            <c:extLst>
              <c:ext xmlns:c16="http://schemas.microsoft.com/office/drawing/2014/chart" uri="{C3380CC4-5D6E-409C-BE32-E72D297353CC}">
                <c16:uniqueId val="{00000003-7AE3-4ED9-B11D-00B18297EF9B}"/>
              </c:ext>
            </c:extLst>
          </c:dPt>
          <c:dPt>
            <c:idx val="2"/>
            <c:invertIfNegative val="0"/>
            <c:bubble3D val="0"/>
            <c:spPr>
              <a:solidFill>
                <a:srgbClr val="2BAE66"/>
              </a:solidFill>
              <a:ln>
                <a:noFill/>
              </a:ln>
              <a:effectLst/>
            </c:spPr>
            <c:extLst>
              <c:ext xmlns:c16="http://schemas.microsoft.com/office/drawing/2014/chart" uri="{C3380CC4-5D6E-409C-BE32-E72D297353CC}">
                <c16:uniqueId val="{00000005-7AE3-4ED9-B11D-00B18297E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Pivot!$A$8:$A$11</c:f>
              <c:strCache>
                <c:ptCount val="3"/>
                <c:pt idx="0">
                  <c:v>14-15</c:v>
                </c:pt>
                <c:pt idx="1">
                  <c:v>16-17</c:v>
                </c:pt>
                <c:pt idx="2">
                  <c:v>18-19</c:v>
                </c:pt>
              </c:strCache>
            </c:strRef>
          </c:cat>
          <c:val>
            <c:numRef>
              <c:f>Pivot!$B$8:$B$11</c:f>
              <c:numCache>
                <c:formatCode>#,##0</c:formatCode>
                <c:ptCount val="3"/>
                <c:pt idx="0">
                  <c:v>36</c:v>
                </c:pt>
                <c:pt idx="1">
                  <c:v>29</c:v>
                </c:pt>
                <c:pt idx="2">
                  <c:v>35</c:v>
                </c:pt>
              </c:numCache>
            </c:numRef>
          </c:val>
          <c:extLst>
            <c:ext xmlns:c16="http://schemas.microsoft.com/office/drawing/2014/chart" uri="{C3380CC4-5D6E-409C-BE32-E72D297353CC}">
              <c16:uniqueId val="{00000006-7AE3-4ED9-B11D-00B18297EF9B}"/>
            </c:ext>
          </c:extLst>
        </c:ser>
        <c:dLbls>
          <c:dLblPos val="outEnd"/>
          <c:showLegendKey val="0"/>
          <c:showVal val="1"/>
          <c:showCatName val="0"/>
          <c:showSerName val="0"/>
          <c:showPercent val="0"/>
          <c:showBubbleSize val="0"/>
        </c:dLbls>
        <c:gapWidth val="219"/>
        <c:overlap val="-27"/>
        <c:axId val="1418057664"/>
        <c:axId val="1418058144"/>
      </c:barChart>
      <c:catAx>
        <c:axId val="14180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58144"/>
        <c:crosses val="autoZero"/>
        <c:auto val="1"/>
        <c:lblAlgn val="ctr"/>
        <c:lblOffset val="100"/>
        <c:noMultiLvlLbl val="0"/>
      </c:catAx>
      <c:valAx>
        <c:axId val="1418058144"/>
        <c:scaling>
          <c:orientation val="minMax"/>
        </c:scaling>
        <c:delete val="1"/>
        <c:axPos val="l"/>
        <c:numFmt formatCode="#,##0" sourceLinked="1"/>
        <c:majorTickMark val="none"/>
        <c:minorTickMark val="none"/>
        <c:tickLblPos val="nextTo"/>
        <c:crossAx val="141805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a:t>
            </a:r>
            <a:r>
              <a:rPr lang="en-US" baseline="0"/>
              <a:t>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03F8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AE66"/>
          </a:solidFill>
          <a:ln w="19050">
            <a:solidFill>
              <a:schemeClr val="lt1"/>
            </a:solidFill>
          </a:ln>
          <a:effectLst/>
        </c:spPr>
      </c:pivotFmt>
      <c:pivotFmt>
        <c:idx val="2"/>
        <c:spPr>
          <a:solidFill>
            <a:srgbClr val="603F8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AE66"/>
          </a:solidFill>
          <a:ln w="19050">
            <a:solidFill>
              <a:schemeClr val="lt1"/>
            </a:solidFill>
          </a:ln>
          <a:effectLst/>
        </c:spPr>
        <c:dLbl>
          <c:idx val="0"/>
          <c:layout>
            <c:manualLayout>
              <c:x val="5.5551979694679642E-2"/>
              <c:y val="-0.29533507743879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03F83"/>
          </a:solidFill>
          <a:ln w="19050">
            <a:solidFill>
              <a:schemeClr val="lt1"/>
            </a:solidFill>
          </a:ln>
          <a:effectLst/>
        </c:spPr>
        <c:dLbl>
          <c:idx val="0"/>
          <c:layout>
            <c:manualLayout>
              <c:x val="-9.5799781157314384E-2"/>
              <c:y val="-0.118011719768910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Pivot!$F$7</c:f>
              <c:strCache>
                <c:ptCount val="1"/>
                <c:pt idx="0">
                  <c:v>Total</c:v>
                </c:pt>
              </c:strCache>
            </c:strRef>
          </c:tx>
          <c:spPr>
            <a:solidFill>
              <a:srgbClr val="603F83"/>
            </a:solidFill>
          </c:spPr>
          <c:dPt>
            <c:idx val="0"/>
            <c:bubble3D val="0"/>
            <c:spPr>
              <a:solidFill>
                <a:srgbClr val="2BAE66"/>
              </a:solidFill>
              <a:ln w="19050">
                <a:solidFill>
                  <a:schemeClr val="lt1"/>
                </a:solidFill>
              </a:ln>
              <a:effectLst/>
            </c:spPr>
            <c:extLst>
              <c:ext xmlns:c16="http://schemas.microsoft.com/office/drawing/2014/chart" uri="{C3380CC4-5D6E-409C-BE32-E72D297353CC}">
                <c16:uniqueId val="{00000001-7B2E-4867-AC08-93EFDF0E180D}"/>
              </c:ext>
            </c:extLst>
          </c:dPt>
          <c:dPt>
            <c:idx val="1"/>
            <c:bubble3D val="0"/>
            <c:spPr>
              <a:solidFill>
                <a:srgbClr val="603F83"/>
              </a:solidFill>
              <a:ln w="19050">
                <a:solidFill>
                  <a:schemeClr val="lt1"/>
                </a:solidFill>
              </a:ln>
              <a:effectLst/>
            </c:spPr>
            <c:extLst>
              <c:ext xmlns:c16="http://schemas.microsoft.com/office/drawing/2014/chart" uri="{C3380CC4-5D6E-409C-BE32-E72D297353CC}">
                <c16:uniqueId val="{00000003-7B2E-4867-AC08-93EFDF0E180D}"/>
              </c:ext>
            </c:extLst>
          </c:dPt>
          <c:dLbls>
            <c:dLbl>
              <c:idx val="0"/>
              <c:layout>
                <c:manualLayout>
                  <c:x val="5.5551979694679642E-2"/>
                  <c:y val="-0.29533507743879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2E-4867-AC08-93EFDF0E180D}"/>
                </c:ext>
              </c:extLst>
            </c:dLbl>
            <c:dLbl>
              <c:idx val="1"/>
              <c:layout>
                <c:manualLayout>
                  <c:x val="-9.5799781157314384E-2"/>
                  <c:y val="-0.11801171976891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2E-4867-AC08-93EFDF0E18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Pivot!$E$8:$E$10</c:f>
              <c:strCache>
                <c:ptCount val="2"/>
                <c:pt idx="0">
                  <c:v>College</c:v>
                </c:pt>
                <c:pt idx="1">
                  <c:v>School</c:v>
                </c:pt>
              </c:strCache>
            </c:strRef>
          </c:cat>
          <c:val>
            <c:numRef>
              <c:f>Pivot!$F$8:$F$10</c:f>
              <c:numCache>
                <c:formatCode>#,##0</c:formatCode>
                <c:ptCount val="2"/>
                <c:pt idx="0">
                  <c:v>48</c:v>
                </c:pt>
                <c:pt idx="1">
                  <c:v>52</c:v>
                </c:pt>
              </c:numCache>
            </c:numRef>
          </c:val>
          <c:extLst>
            <c:ext xmlns:c16="http://schemas.microsoft.com/office/drawing/2014/chart" uri="{C3380CC4-5D6E-409C-BE32-E72D297353CC}">
              <c16:uniqueId val="{00000004-7B2E-4867-AC08-93EFDF0E180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a:t>
            </a:r>
            <a:r>
              <a:rPr lang="en-US" baseline="0"/>
              <a:t> Uses 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BAE6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03F83"/>
          </a:solidFill>
          <a:ln w="19050">
            <a:solidFill>
              <a:schemeClr val="lt1"/>
            </a:solidFill>
          </a:ln>
          <a:effectLst/>
        </c:spPr>
      </c:pivotFmt>
      <c:pivotFmt>
        <c:idx val="2"/>
        <c:spPr>
          <a:solidFill>
            <a:srgbClr val="2BAE6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03F83"/>
          </a:solidFill>
          <a:ln w="19050">
            <a:solidFill>
              <a:schemeClr val="lt1"/>
            </a:solidFill>
          </a:ln>
          <a:effectLst/>
        </c:spPr>
        <c:dLbl>
          <c:idx val="0"/>
          <c:layout>
            <c:manualLayout>
              <c:x val="0.11113971443510898"/>
              <c:y val="0.10313213093720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BAE66"/>
          </a:solidFill>
          <a:ln w="19050">
            <a:solidFill>
              <a:schemeClr val="lt1"/>
            </a:solidFill>
          </a:ln>
          <a:effectLst/>
        </c:spPr>
        <c:dLbl>
          <c:idx val="0"/>
          <c:layout>
            <c:manualLayout>
              <c:x val="-0.10187807156551666"/>
              <c:y val="-0.20626426187440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Pivot!$J$7</c:f>
              <c:strCache>
                <c:ptCount val="1"/>
                <c:pt idx="0">
                  <c:v>Total</c:v>
                </c:pt>
              </c:strCache>
            </c:strRef>
          </c:tx>
          <c:spPr>
            <a:solidFill>
              <a:srgbClr val="2BAE66"/>
            </a:solidFill>
          </c:spPr>
          <c:dPt>
            <c:idx val="0"/>
            <c:bubble3D val="0"/>
            <c:spPr>
              <a:solidFill>
                <a:srgbClr val="603F83"/>
              </a:solidFill>
              <a:ln w="19050">
                <a:solidFill>
                  <a:schemeClr val="lt1"/>
                </a:solidFill>
              </a:ln>
              <a:effectLst/>
            </c:spPr>
            <c:extLst>
              <c:ext xmlns:c16="http://schemas.microsoft.com/office/drawing/2014/chart" uri="{C3380CC4-5D6E-409C-BE32-E72D297353CC}">
                <c16:uniqueId val="{00000001-01C1-4F51-AE12-94666713230A}"/>
              </c:ext>
            </c:extLst>
          </c:dPt>
          <c:dPt>
            <c:idx val="1"/>
            <c:bubble3D val="0"/>
            <c:spPr>
              <a:solidFill>
                <a:srgbClr val="2BAE66"/>
              </a:solidFill>
              <a:ln w="19050">
                <a:solidFill>
                  <a:schemeClr val="lt1"/>
                </a:solidFill>
              </a:ln>
              <a:effectLst/>
            </c:spPr>
            <c:extLst>
              <c:ext xmlns:c16="http://schemas.microsoft.com/office/drawing/2014/chart" uri="{C3380CC4-5D6E-409C-BE32-E72D297353CC}">
                <c16:uniqueId val="{00000003-01C1-4F51-AE12-94666713230A}"/>
              </c:ext>
            </c:extLst>
          </c:dPt>
          <c:dLbls>
            <c:dLbl>
              <c:idx val="0"/>
              <c:layout>
                <c:manualLayout>
                  <c:x val="0.11113971443510898"/>
                  <c:y val="0.10313213093720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C1-4F51-AE12-94666713230A}"/>
                </c:ext>
              </c:extLst>
            </c:dLbl>
            <c:dLbl>
              <c:idx val="1"/>
              <c:layout>
                <c:manualLayout>
                  <c:x val="-0.10187807156551666"/>
                  <c:y val="-0.20626426187440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C1-4F51-AE12-9466671323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Pivot!$I$8:$I$10</c:f>
              <c:strCache>
                <c:ptCount val="2"/>
                <c:pt idx="0">
                  <c:v>No</c:v>
                </c:pt>
                <c:pt idx="1">
                  <c:v>Yes</c:v>
                </c:pt>
              </c:strCache>
            </c:strRef>
          </c:cat>
          <c:val>
            <c:numRef>
              <c:f>Pivot!$J$8:$J$10</c:f>
              <c:numCache>
                <c:formatCode>#,##0</c:formatCode>
                <c:ptCount val="2"/>
                <c:pt idx="0">
                  <c:v>60</c:v>
                </c:pt>
                <c:pt idx="1">
                  <c:v>40</c:v>
                </c:pt>
              </c:numCache>
            </c:numRef>
          </c:val>
          <c:extLst>
            <c:ext xmlns:c16="http://schemas.microsoft.com/office/drawing/2014/chart" uri="{C3380CC4-5D6E-409C-BE32-E72D297353CC}">
              <c16:uniqueId val="{00000004-01C1-4F51-AE12-9466671323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a:t>
            </a:r>
            <a:r>
              <a:rPr lang="en-US" baseline="0"/>
              <a:t> AI tools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3F83"/>
          </a:solidFill>
          <a:ln>
            <a:noFill/>
          </a:ln>
          <a:effectLst/>
        </c:spPr>
      </c:pivotFmt>
      <c:pivotFmt>
        <c:idx val="2"/>
        <c:spPr>
          <a:solidFill>
            <a:srgbClr val="2BAE66"/>
          </a:solidFill>
          <a:ln>
            <a:noFill/>
          </a:ln>
          <a:effectLst/>
        </c:spPr>
      </c:pivotFmt>
      <c:pivotFmt>
        <c:idx val="3"/>
        <c:spPr>
          <a:solidFill>
            <a:srgbClr val="ADEFD1"/>
          </a:solidFill>
          <a:ln>
            <a:noFill/>
          </a:ln>
          <a:effectLst/>
        </c:spPr>
      </c:pivotFmt>
      <c:pivotFmt>
        <c:idx val="4"/>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AE66"/>
          </a:solidFill>
          <a:ln>
            <a:noFill/>
          </a:ln>
          <a:effectLst/>
        </c:spPr>
      </c:pivotFmt>
      <c:pivotFmt>
        <c:idx val="6"/>
        <c:spPr>
          <a:solidFill>
            <a:srgbClr val="2BAE66"/>
          </a:solidFill>
          <a:ln>
            <a:noFill/>
          </a:ln>
          <a:effectLst/>
        </c:spPr>
      </c:pivotFmt>
      <c:pivotFmt>
        <c:idx val="7"/>
        <c:spPr>
          <a:solidFill>
            <a:srgbClr val="603F83"/>
          </a:solidFill>
          <a:ln>
            <a:noFill/>
          </a:ln>
          <a:effectLst/>
        </c:spPr>
      </c:pivotFmt>
    </c:pivotFmts>
    <c:plotArea>
      <c:layout/>
      <c:barChart>
        <c:barDir val="bar"/>
        <c:grouping val="clustered"/>
        <c:varyColors val="0"/>
        <c:ser>
          <c:idx val="0"/>
          <c:order val="0"/>
          <c:tx>
            <c:strRef>
              <c:f>Pivot!$N$7</c:f>
              <c:strCache>
                <c:ptCount val="1"/>
                <c:pt idx="0">
                  <c:v>Total</c:v>
                </c:pt>
              </c:strCache>
            </c:strRef>
          </c:tx>
          <c:spPr>
            <a:solidFill>
              <a:srgbClr val="2BAE66"/>
            </a:solidFill>
            <a:ln>
              <a:noFill/>
            </a:ln>
            <a:effectLst/>
          </c:spPr>
          <c:invertIfNegative val="0"/>
          <c:dPt>
            <c:idx val="0"/>
            <c:invertIfNegative val="0"/>
            <c:bubble3D val="0"/>
            <c:spPr>
              <a:solidFill>
                <a:srgbClr val="603F83"/>
              </a:solidFill>
              <a:ln>
                <a:noFill/>
              </a:ln>
              <a:effectLst/>
            </c:spPr>
            <c:extLst>
              <c:ext xmlns:c16="http://schemas.microsoft.com/office/drawing/2014/chart" uri="{C3380CC4-5D6E-409C-BE32-E72D297353CC}">
                <c16:uniqueId val="{00000001-298A-4E7A-83AF-BDA78DC633D4}"/>
              </c:ext>
            </c:extLst>
          </c:dPt>
          <c:dPt>
            <c:idx val="2"/>
            <c:invertIfNegative val="0"/>
            <c:bubble3D val="0"/>
            <c:spPr>
              <a:solidFill>
                <a:srgbClr val="2BAE66"/>
              </a:solidFill>
              <a:ln>
                <a:noFill/>
              </a:ln>
              <a:effectLst/>
            </c:spPr>
            <c:extLst>
              <c:ext xmlns:c16="http://schemas.microsoft.com/office/drawing/2014/chart" uri="{C3380CC4-5D6E-409C-BE32-E72D297353CC}">
                <c16:uniqueId val="{00000003-298A-4E7A-83AF-BDA78DC633D4}"/>
              </c:ext>
            </c:extLst>
          </c:dPt>
          <c:dPt>
            <c:idx val="3"/>
            <c:invertIfNegative val="0"/>
            <c:bubble3D val="0"/>
            <c:spPr>
              <a:solidFill>
                <a:srgbClr val="2BAE66"/>
              </a:solidFill>
              <a:ln>
                <a:noFill/>
              </a:ln>
              <a:effectLst/>
            </c:spPr>
            <c:extLst>
              <c:ext xmlns:c16="http://schemas.microsoft.com/office/drawing/2014/chart" uri="{C3380CC4-5D6E-409C-BE32-E72D297353CC}">
                <c16:uniqueId val="{00000005-298A-4E7A-83AF-BDA78DC633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Pivot!$M$8:$M$12</c:f>
              <c:strCache>
                <c:ptCount val="4"/>
                <c:pt idx="0">
                  <c:v>None</c:v>
                </c:pt>
                <c:pt idx="1">
                  <c:v>Copilot</c:v>
                </c:pt>
                <c:pt idx="2">
                  <c:v>ChatGPT</c:v>
                </c:pt>
                <c:pt idx="3">
                  <c:v>Gemini</c:v>
                </c:pt>
              </c:strCache>
            </c:strRef>
          </c:cat>
          <c:val>
            <c:numRef>
              <c:f>Pivot!$N$8:$N$12</c:f>
              <c:numCache>
                <c:formatCode>#,##0</c:formatCode>
                <c:ptCount val="4"/>
                <c:pt idx="0">
                  <c:v>60</c:v>
                </c:pt>
                <c:pt idx="1">
                  <c:v>14</c:v>
                </c:pt>
                <c:pt idx="2">
                  <c:v>13</c:v>
                </c:pt>
                <c:pt idx="3">
                  <c:v>13</c:v>
                </c:pt>
              </c:numCache>
            </c:numRef>
          </c:val>
          <c:extLst>
            <c:ext xmlns:c16="http://schemas.microsoft.com/office/drawing/2014/chart" uri="{C3380CC4-5D6E-409C-BE32-E72D297353CC}">
              <c16:uniqueId val="{00000006-298A-4E7A-83AF-BDA78DC633D4}"/>
            </c:ext>
          </c:extLst>
        </c:ser>
        <c:dLbls>
          <c:dLblPos val="outEnd"/>
          <c:showLegendKey val="0"/>
          <c:showVal val="1"/>
          <c:showCatName val="0"/>
          <c:showSerName val="0"/>
          <c:showPercent val="0"/>
          <c:showBubbleSize val="0"/>
        </c:dLbls>
        <c:gapWidth val="182"/>
        <c:axId val="408533472"/>
        <c:axId val="408523392"/>
      </c:barChart>
      <c:catAx>
        <c:axId val="40853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523392"/>
        <c:crosses val="autoZero"/>
        <c:auto val="1"/>
        <c:lblAlgn val="ctr"/>
        <c:lblOffset val="100"/>
        <c:noMultiLvlLbl val="0"/>
      </c:catAx>
      <c:valAx>
        <c:axId val="408523392"/>
        <c:scaling>
          <c:orientation val="minMax"/>
        </c:scaling>
        <c:delete val="1"/>
        <c:axPos val="b"/>
        <c:numFmt formatCode="#,##0" sourceLinked="1"/>
        <c:majorTickMark val="none"/>
        <c:minorTickMark val="none"/>
        <c:tickLblPos val="nextTo"/>
        <c:crossAx val="40853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Purpose 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AE66"/>
          </a:solidFill>
          <a:ln>
            <a:noFill/>
          </a:ln>
          <a:effectLst/>
        </c:spPr>
      </c:pivotFmt>
      <c:pivotFmt>
        <c:idx val="2"/>
        <c:spPr>
          <a:solidFill>
            <a:srgbClr val="603F83"/>
          </a:solidFill>
          <a:ln>
            <a:noFill/>
          </a:ln>
          <a:effectLst/>
        </c:spPr>
      </c:pivotFmt>
      <c:pivotFmt>
        <c:idx val="3"/>
        <c:spPr>
          <a:solidFill>
            <a:srgbClr val="ADEFD1"/>
          </a:solidFill>
          <a:ln>
            <a:noFill/>
          </a:ln>
          <a:effectLst/>
        </c:spPr>
      </c:pivotFmt>
      <c:pivotFmt>
        <c:idx val="4"/>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AE66"/>
          </a:solidFill>
          <a:ln>
            <a:noFill/>
          </a:ln>
          <a:effectLst/>
        </c:spPr>
      </c:pivotFmt>
      <c:pivotFmt>
        <c:idx val="6"/>
        <c:spPr>
          <a:solidFill>
            <a:srgbClr val="603F83"/>
          </a:solidFill>
          <a:ln>
            <a:noFill/>
          </a:ln>
          <a:effectLst/>
        </c:spPr>
      </c:pivotFmt>
      <c:pivotFmt>
        <c:idx val="7"/>
        <c:spPr>
          <a:solidFill>
            <a:srgbClr val="2BAE66"/>
          </a:solidFill>
          <a:ln>
            <a:noFill/>
          </a:ln>
          <a:effectLst/>
        </c:spPr>
      </c:pivotFmt>
    </c:pivotFmts>
    <c:plotArea>
      <c:layout/>
      <c:barChart>
        <c:barDir val="col"/>
        <c:grouping val="clustered"/>
        <c:varyColors val="0"/>
        <c:ser>
          <c:idx val="0"/>
          <c:order val="0"/>
          <c:tx>
            <c:strRef>
              <c:f>Pivot!$B$14</c:f>
              <c:strCache>
                <c:ptCount val="1"/>
                <c:pt idx="0">
                  <c:v>Total</c:v>
                </c:pt>
              </c:strCache>
            </c:strRef>
          </c:tx>
          <c:spPr>
            <a:solidFill>
              <a:srgbClr val="2BAE66"/>
            </a:solidFill>
            <a:ln>
              <a:noFill/>
            </a:ln>
            <a:effectLst/>
          </c:spPr>
          <c:invertIfNegative val="0"/>
          <c:dPt>
            <c:idx val="1"/>
            <c:invertIfNegative val="0"/>
            <c:bubble3D val="0"/>
            <c:spPr>
              <a:solidFill>
                <a:srgbClr val="2BAE66"/>
              </a:solidFill>
              <a:ln>
                <a:noFill/>
              </a:ln>
              <a:effectLst/>
            </c:spPr>
            <c:extLst>
              <c:ext xmlns:c16="http://schemas.microsoft.com/office/drawing/2014/chart" uri="{C3380CC4-5D6E-409C-BE32-E72D297353CC}">
                <c16:uniqueId val="{00000001-46E2-407B-8ACA-7F2A5200E010}"/>
              </c:ext>
            </c:extLst>
          </c:dPt>
          <c:dPt>
            <c:idx val="2"/>
            <c:invertIfNegative val="0"/>
            <c:bubble3D val="0"/>
            <c:spPr>
              <a:solidFill>
                <a:srgbClr val="603F83"/>
              </a:solidFill>
              <a:ln>
                <a:noFill/>
              </a:ln>
              <a:effectLst/>
            </c:spPr>
            <c:extLst>
              <c:ext xmlns:c16="http://schemas.microsoft.com/office/drawing/2014/chart" uri="{C3380CC4-5D6E-409C-BE32-E72D297353CC}">
                <c16:uniqueId val="{00000003-46E2-407B-8ACA-7F2A5200E010}"/>
              </c:ext>
            </c:extLst>
          </c:dPt>
          <c:dPt>
            <c:idx val="3"/>
            <c:invertIfNegative val="0"/>
            <c:bubble3D val="0"/>
            <c:spPr>
              <a:solidFill>
                <a:srgbClr val="2BAE66"/>
              </a:solidFill>
              <a:ln>
                <a:noFill/>
              </a:ln>
              <a:effectLst/>
            </c:spPr>
            <c:extLst>
              <c:ext xmlns:c16="http://schemas.microsoft.com/office/drawing/2014/chart" uri="{C3380CC4-5D6E-409C-BE32-E72D297353CC}">
                <c16:uniqueId val="{00000005-46E2-407B-8ACA-7F2A5200E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Pivot!$A$15:$A$19</c:f>
              <c:strCache>
                <c:ptCount val="4"/>
                <c:pt idx="0">
                  <c:v>Coding</c:v>
                </c:pt>
                <c:pt idx="1">
                  <c:v>Homework</c:v>
                </c:pt>
                <c:pt idx="2">
                  <c:v>None</c:v>
                </c:pt>
                <c:pt idx="3">
                  <c:v>Research</c:v>
                </c:pt>
              </c:strCache>
            </c:strRef>
          </c:cat>
          <c:val>
            <c:numRef>
              <c:f>Pivot!$B$15:$B$19</c:f>
              <c:numCache>
                <c:formatCode>#,##0</c:formatCode>
                <c:ptCount val="4"/>
                <c:pt idx="0">
                  <c:v>13</c:v>
                </c:pt>
                <c:pt idx="1">
                  <c:v>13</c:v>
                </c:pt>
                <c:pt idx="2">
                  <c:v>60</c:v>
                </c:pt>
                <c:pt idx="3">
                  <c:v>14</c:v>
                </c:pt>
              </c:numCache>
            </c:numRef>
          </c:val>
          <c:extLst>
            <c:ext xmlns:c16="http://schemas.microsoft.com/office/drawing/2014/chart" uri="{C3380CC4-5D6E-409C-BE32-E72D297353CC}">
              <c16:uniqueId val="{00000006-46E2-407B-8ACA-7F2A5200E010}"/>
            </c:ext>
          </c:extLst>
        </c:ser>
        <c:dLbls>
          <c:dLblPos val="outEnd"/>
          <c:showLegendKey val="0"/>
          <c:showVal val="1"/>
          <c:showCatName val="0"/>
          <c:showSerName val="0"/>
          <c:showPercent val="0"/>
          <c:showBubbleSize val="0"/>
        </c:dLbls>
        <c:gapWidth val="219"/>
        <c:overlap val="-27"/>
        <c:axId val="408527712"/>
        <c:axId val="408533952"/>
      </c:barChart>
      <c:catAx>
        <c:axId val="40852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533952"/>
        <c:crosses val="autoZero"/>
        <c:auto val="1"/>
        <c:lblAlgn val="ctr"/>
        <c:lblOffset val="100"/>
        <c:noMultiLvlLbl val="0"/>
      </c:catAx>
      <c:valAx>
        <c:axId val="408533952"/>
        <c:scaling>
          <c:orientation val="minMax"/>
        </c:scaling>
        <c:delete val="1"/>
        <c:axPos val="l"/>
        <c:numFmt formatCode="#,##0" sourceLinked="1"/>
        <c:majorTickMark val="out"/>
        <c:minorTickMark val="none"/>
        <c:tickLblPos val="nextTo"/>
        <c:crossAx val="40852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a:t>
            </a:r>
            <a:r>
              <a:rPr lang="en-US" baseline="0"/>
              <a:t> Study Hour Per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BAE66"/>
          </a:solidFill>
          <a:ln>
            <a:noFill/>
          </a:ln>
          <a:effectLst/>
        </c:spPr>
      </c:pivotFmt>
      <c:pivotFmt>
        <c:idx val="2"/>
        <c:spPr>
          <a:solidFill>
            <a:srgbClr val="603F83"/>
          </a:solidFill>
          <a:ln>
            <a:noFill/>
          </a:ln>
          <a:effectLst/>
        </c:spPr>
      </c:pivotFmt>
      <c:pivotFmt>
        <c:idx val="3"/>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BAE66"/>
          </a:solidFill>
          <a:ln>
            <a:noFill/>
          </a:ln>
          <a:effectLst/>
        </c:spPr>
      </c:pivotFmt>
      <c:pivotFmt>
        <c:idx val="5"/>
        <c:spPr>
          <a:solidFill>
            <a:srgbClr val="603F83"/>
          </a:solidFill>
          <a:ln>
            <a:noFill/>
          </a:ln>
          <a:effectLst/>
        </c:spPr>
      </c:pivotFmt>
    </c:pivotFmts>
    <c:plotArea>
      <c:layout/>
      <c:barChart>
        <c:barDir val="col"/>
        <c:grouping val="clustered"/>
        <c:varyColors val="0"/>
        <c:ser>
          <c:idx val="0"/>
          <c:order val="0"/>
          <c:tx>
            <c:strRef>
              <c:f>Pivot!$J$14</c:f>
              <c:strCache>
                <c:ptCount val="1"/>
                <c:pt idx="0">
                  <c:v>Total</c:v>
                </c:pt>
              </c:strCache>
            </c:strRef>
          </c:tx>
          <c:spPr>
            <a:solidFill>
              <a:srgbClr val="2BAE66"/>
            </a:solidFill>
            <a:ln>
              <a:noFill/>
            </a:ln>
            <a:effectLst/>
          </c:spPr>
          <c:invertIfNegative val="0"/>
          <c:dPt>
            <c:idx val="1"/>
            <c:invertIfNegative val="0"/>
            <c:bubble3D val="0"/>
            <c:extLst>
              <c:ext xmlns:c16="http://schemas.microsoft.com/office/drawing/2014/chart" uri="{C3380CC4-5D6E-409C-BE32-E72D297353CC}">
                <c16:uniqueId val="{00000001-CFBF-4A5D-9560-A0727456CDE0}"/>
              </c:ext>
            </c:extLst>
          </c:dPt>
          <c:dPt>
            <c:idx val="2"/>
            <c:invertIfNegative val="0"/>
            <c:bubble3D val="0"/>
            <c:extLst>
              <c:ext xmlns:c16="http://schemas.microsoft.com/office/drawing/2014/chart" uri="{C3380CC4-5D6E-409C-BE32-E72D297353CC}">
                <c16:uniqueId val="{00000003-CFBF-4A5D-9560-A0727456CD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Pivot!$I$15:$I$18</c:f>
              <c:strCache>
                <c:ptCount val="3"/>
                <c:pt idx="0">
                  <c:v>≤ 2 Hours</c:v>
                </c:pt>
                <c:pt idx="1">
                  <c:v>≥ 5 Hours</c:v>
                </c:pt>
                <c:pt idx="2">
                  <c:v>3–4 Hours</c:v>
                </c:pt>
              </c:strCache>
            </c:strRef>
          </c:cat>
          <c:val>
            <c:numRef>
              <c:f>Pivot!$J$15:$J$18</c:f>
              <c:numCache>
                <c:formatCode>#,##0</c:formatCode>
                <c:ptCount val="3"/>
                <c:pt idx="0">
                  <c:v>29</c:v>
                </c:pt>
                <c:pt idx="1">
                  <c:v>25</c:v>
                </c:pt>
                <c:pt idx="2">
                  <c:v>46</c:v>
                </c:pt>
              </c:numCache>
            </c:numRef>
          </c:val>
          <c:extLst>
            <c:ext xmlns:c16="http://schemas.microsoft.com/office/drawing/2014/chart" uri="{C3380CC4-5D6E-409C-BE32-E72D297353CC}">
              <c16:uniqueId val="{00000004-CFBF-4A5D-9560-A0727456CDE0}"/>
            </c:ext>
          </c:extLst>
        </c:ser>
        <c:dLbls>
          <c:showLegendKey val="0"/>
          <c:showVal val="0"/>
          <c:showCatName val="0"/>
          <c:showSerName val="0"/>
          <c:showPercent val="0"/>
          <c:showBubbleSize val="0"/>
        </c:dLbls>
        <c:gapWidth val="219"/>
        <c:overlap val="-27"/>
        <c:axId val="1366397104"/>
        <c:axId val="1366395184"/>
      </c:barChart>
      <c:catAx>
        <c:axId val="136639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95184"/>
        <c:crosses val="autoZero"/>
        <c:auto val="1"/>
        <c:lblAlgn val="ctr"/>
        <c:lblOffset val="100"/>
        <c:noMultiLvlLbl val="0"/>
      </c:catAx>
      <c:valAx>
        <c:axId val="1366395184"/>
        <c:scaling>
          <c:orientation val="minMax"/>
        </c:scaling>
        <c:delete val="1"/>
        <c:axPos val="l"/>
        <c:numFmt formatCode="#,##0" sourceLinked="1"/>
        <c:majorTickMark val="none"/>
        <c:minorTickMark val="none"/>
        <c:tickLblPos val="nextTo"/>
        <c:crossAx val="136639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Grades Before</a:t>
            </a:r>
            <a:r>
              <a:rPr lang="en-US" baseline="0"/>
              <a:t> 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3F83"/>
          </a:solidFill>
          <a:ln>
            <a:noFill/>
          </a:ln>
          <a:effectLst/>
        </c:spPr>
      </c:pivotFmt>
      <c:pivotFmt>
        <c:idx val="2"/>
        <c:spPr>
          <a:solidFill>
            <a:srgbClr val="2BAE66"/>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BAE66"/>
          </a:solidFill>
          <a:ln>
            <a:noFill/>
          </a:ln>
          <a:effectLst/>
        </c:spPr>
      </c:pivotFmt>
      <c:pivotFmt>
        <c:idx val="5"/>
        <c:spPr>
          <a:solidFill>
            <a:srgbClr val="603F83"/>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BAE66"/>
          </a:solidFill>
          <a:ln>
            <a:noFill/>
          </a:ln>
          <a:effectLst/>
        </c:spPr>
      </c:pivotFmt>
      <c:pivotFmt>
        <c:idx val="8"/>
        <c:spPr>
          <a:solidFill>
            <a:srgbClr val="603F83"/>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BAE66"/>
          </a:solidFill>
          <a:ln>
            <a:noFill/>
          </a:ln>
          <a:effectLst/>
        </c:spPr>
      </c:pivotFmt>
      <c:pivotFmt>
        <c:idx val="11"/>
        <c:spPr>
          <a:solidFill>
            <a:srgbClr val="603F83"/>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BAE66"/>
          </a:solidFill>
          <a:ln>
            <a:noFill/>
          </a:ln>
          <a:effectLst/>
        </c:spPr>
      </c:pivotFmt>
      <c:pivotFmt>
        <c:idx val="14"/>
        <c:spPr>
          <a:solidFill>
            <a:srgbClr val="603F83"/>
          </a:solidFill>
          <a:ln>
            <a:noFill/>
          </a:ln>
          <a:effectLst/>
        </c:spPr>
      </c:pivotFmt>
      <c:pivotFmt>
        <c:idx val="15"/>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BAE66"/>
          </a:solidFill>
          <a:ln>
            <a:noFill/>
          </a:ln>
          <a:effectLst/>
        </c:spPr>
      </c:pivotFmt>
      <c:pivotFmt>
        <c:idx val="17"/>
        <c:spPr>
          <a:solidFill>
            <a:srgbClr val="2BAE66"/>
          </a:solidFill>
          <a:ln>
            <a:noFill/>
          </a:ln>
          <a:effectLst/>
        </c:spPr>
      </c:pivotFmt>
      <c:pivotFmt>
        <c:idx val="18"/>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BAE66"/>
          </a:solidFill>
          <a:ln>
            <a:noFill/>
          </a:ln>
          <a:effectLst/>
        </c:spPr>
      </c:pivotFmt>
      <c:pivotFmt>
        <c:idx val="20"/>
        <c:spPr>
          <a:solidFill>
            <a:srgbClr val="2BAE66"/>
          </a:solidFill>
          <a:ln>
            <a:noFill/>
          </a:ln>
          <a:effectLst/>
        </c:spPr>
      </c:pivotFmt>
      <c:pivotFmt>
        <c:idx val="21"/>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2BAE66"/>
          </a:solidFill>
          <a:ln>
            <a:noFill/>
          </a:ln>
          <a:effectLst/>
        </c:spPr>
      </c:pivotFmt>
      <c:pivotFmt>
        <c:idx val="23"/>
        <c:spPr>
          <a:solidFill>
            <a:srgbClr val="2BAE66"/>
          </a:solidFill>
          <a:ln>
            <a:noFill/>
          </a:ln>
          <a:effectLst/>
        </c:spPr>
      </c:pivotFmt>
    </c:pivotFmts>
    <c:plotArea>
      <c:layout/>
      <c:barChart>
        <c:barDir val="bar"/>
        <c:grouping val="clustered"/>
        <c:varyColors val="0"/>
        <c:ser>
          <c:idx val="0"/>
          <c:order val="0"/>
          <c:tx>
            <c:strRef>
              <c:f>Pivot!$N$15</c:f>
              <c:strCache>
                <c:ptCount val="1"/>
                <c:pt idx="0">
                  <c:v>Total</c:v>
                </c:pt>
              </c:strCache>
            </c:strRef>
          </c:tx>
          <c:spPr>
            <a:solidFill>
              <a:srgbClr val="2BAE66"/>
            </a:solidFill>
            <a:ln>
              <a:noFill/>
            </a:ln>
            <a:effectLst/>
          </c:spPr>
          <c:invertIfNegative val="0"/>
          <c:dPt>
            <c:idx val="0"/>
            <c:invertIfNegative val="0"/>
            <c:bubble3D val="0"/>
            <c:spPr>
              <a:solidFill>
                <a:srgbClr val="2BAE66"/>
              </a:solidFill>
              <a:ln>
                <a:noFill/>
              </a:ln>
              <a:effectLst/>
            </c:spPr>
            <c:extLst>
              <c:ext xmlns:c16="http://schemas.microsoft.com/office/drawing/2014/chart" uri="{C3380CC4-5D6E-409C-BE32-E72D297353CC}">
                <c16:uniqueId val="{00000001-33DD-485B-BE91-96042CBFE1AA}"/>
              </c:ext>
            </c:extLst>
          </c:dPt>
          <c:dPt>
            <c:idx val="1"/>
            <c:invertIfNegative val="0"/>
            <c:bubble3D val="0"/>
            <c:extLst>
              <c:ext xmlns:c16="http://schemas.microsoft.com/office/drawing/2014/chart" uri="{C3380CC4-5D6E-409C-BE32-E72D297353CC}">
                <c16:uniqueId val="{00000002-33DD-485B-BE91-96042CBFE1AA}"/>
              </c:ext>
            </c:extLst>
          </c:dPt>
          <c:dPt>
            <c:idx val="2"/>
            <c:invertIfNegative val="0"/>
            <c:bubble3D val="0"/>
            <c:spPr>
              <a:solidFill>
                <a:srgbClr val="2BAE66"/>
              </a:solidFill>
              <a:ln>
                <a:noFill/>
              </a:ln>
              <a:effectLst/>
            </c:spPr>
            <c:extLst>
              <c:ext xmlns:c16="http://schemas.microsoft.com/office/drawing/2014/chart" uri="{C3380CC4-5D6E-409C-BE32-E72D297353CC}">
                <c16:uniqueId val="{00000004-33DD-485B-BE91-96042CBFE1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Pivot!$M$16:$M$19</c:f>
              <c:strCache>
                <c:ptCount val="3"/>
                <c:pt idx="0">
                  <c:v>71 Marks above</c:v>
                </c:pt>
                <c:pt idx="1">
                  <c:v>50-60 Marks</c:v>
                </c:pt>
                <c:pt idx="2">
                  <c:v>61-70 Marks</c:v>
                </c:pt>
              </c:strCache>
            </c:strRef>
          </c:cat>
          <c:val>
            <c:numRef>
              <c:f>Pivot!$N$16:$N$19</c:f>
              <c:numCache>
                <c:formatCode>#,##0</c:formatCode>
                <c:ptCount val="3"/>
                <c:pt idx="0">
                  <c:v>24</c:v>
                </c:pt>
                <c:pt idx="1">
                  <c:v>32</c:v>
                </c:pt>
                <c:pt idx="2">
                  <c:v>44</c:v>
                </c:pt>
              </c:numCache>
            </c:numRef>
          </c:val>
          <c:extLst>
            <c:ext xmlns:c16="http://schemas.microsoft.com/office/drawing/2014/chart" uri="{C3380CC4-5D6E-409C-BE32-E72D297353CC}">
              <c16:uniqueId val="{00000005-33DD-485B-BE91-96042CBFE1AA}"/>
            </c:ext>
          </c:extLst>
        </c:ser>
        <c:dLbls>
          <c:dLblPos val="outEnd"/>
          <c:showLegendKey val="0"/>
          <c:showVal val="1"/>
          <c:showCatName val="0"/>
          <c:showSerName val="0"/>
          <c:showPercent val="0"/>
          <c:showBubbleSize val="0"/>
        </c:dLbls>
        <c:gapWidth val="182"/>
        <c:axId val="1206079168"/>
        <c:axId val="1206080128"/>
      </c:barChart>
      <c:catAx>
        <c:axId val="120607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80128"/>
        <c:crosses val="autoZero"/>
        <c:auto val="1"/>
        <c:lblAlgn val="ctr"/>
        <c:lblOffset val="100"/>
        <c:noMultiLvlLbl val="0"/>
      </c:catAx>
      <c:valAx>
        <c:axId val="1206080128"/>
        <c:scaling>
          <c:orientation val="minMax"/>
        </c:scaling>
        <c:delete val="1"/>
        <c:axPos val="b"/>
        <c:numFmt formatCode="#,##0" sourceLinked="1"/>
        <c:majorTickMark val="none"/>
        <c:minorTickMark val="none"/>
        <c:tickLblPos val="nextTo"/>
        <c:crossAx val="120607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[Mohamed Abdirahman Std_AI_usage.xlsx]Pivot!PivotTable17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Grades After</a:t>
            </a:r>
            <a:r>
              <a:rPr lang="en-US" baseline="0"/>
              <a:t> 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AE66"/>
          </a:solidFill>
          <a:ln>
            <a:noFill/>
          </a:ln>
          <a:effectLst/>
        </c:spPr>
      </c:pivotFmt>
      <c:pivotFmt>
        <c:idx val="2"/>
        <c:spPr>
          <a:solidFill>
            <a:srgbClr val="603F83"/>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03F83"/>
          </a:solidFill>
          <a:ln>
            <a:noFill/>
          </a:ln>
          <a:effectLst/>
        </c:spPr>
      </c:pivotFmt>
      <c:pivotFmt>
        <c:idx val="5"/>
        <c:spPr>
          <a:solidFill>
            <a:srgbClr val="2BAE6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03F83"/>
          </a:solidFill>
          <a:ln>
            <a:noFill/>
          </a:ln>
          <a:effectLst/>
        </c:spPr>
      </c:pivotFmt>
      <c:pivotFmt>
        <c:idx val="8"/>
        <c:spPr>
          <a:solidFill>
            <a:srgbClr val="2BAE66"/>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03F83"/>
          </a:solidFill>
          <a:ln>
            <a:noFill/>
          </a:ln>
          <a:effectLst/>
        </c:spPr>
      </c:pivotFmt>
      <c:pivotFmt>
        <c:idx val="11"/>
        <c:spPr>
          <a:solidFill>
            <a:srgbClr val="2BAE66"/>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03F83"/>
          </a:solidFill>
          <a:ln>
            <a:noFill/>
          </a:ln>
          <a:effectLst/>
        </c:spPr>
      </c:pivotFmt>
      <c:pivotFmt>
        <c:idx val="14"/>
        <c:spPr>
          <a:solidFill>
            <a:srgbClr val="2BAE66"/>
          </a:solidFill>
          <a:ln>
            <a:noFill/>
          </a:ln>
          <a:effectLst/>
        </c:spPr>
      </c:pivotFmt>
      <c:pivotFmt>
        <c:idx val="15"/>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BAE66"/>
          </a:solidFill>
          <a:ln>
            <a:noFill/>
          </a:ln>
          <a:effectLst/>
        </c:spPr>
      </c:pivotFmt>
      <c:pivotFmt>
        <c:idx val="17"/>
        <c:spPr>
          <a:solidFill>
            <a:srgbClr val="2BAE66"/>
          </a:solidFill>
          <a:ln>
            <a:noFill/>
          </a:ln>
          <a:effectLst/>
        </c:spPr>
      </c:pivotFmt>
      <c:pivotFmt>
        <c:idx val="18"/>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BAE66"/>
          </a:solidFill>
          <a:ln>
            <a:noFill/>
          </a:ln>
          <a:effectLst/>
        </c:spPr>
      </c:pivotFmt>
      <c:pivotFmt>
        <c:idx val="20"/>
        <c:spPr>
          <a:solidFill>
            <a:srgbClr val="2BAE66"/>
          </a:solidFill>
          <a:ln>
            <a:noFill/>
          </a:ln>
          <a:effectLst/>
        </c:spPr>
      </c:pivotFmt>
      <c:pivotFmt>
        <c:idx val="21"/>
        <c:spPr>
          <a:solidFill>
            <a:srgbClr val="2BAE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2BAE66"/>
          </a:solidFill>
          <a:ln>
            <a:noFill/>
          </a:ln>
          <a:effectLst/>
        </c:spPr>
      </c:pivotFmt>
      <c:pivotFmt>
        <c:idx val="23"/>
        <c:spPr>
          <a:solidFill>
            <a:srgbClr val="2BAE66"/>
          </a:solidFill>
          <a:ln>
            <a:noFill/>
          </a:ln>
          <a:effectLst/>
        </c:spPr>
      </c:pivotFmt>
    </c:pivotFmts>
    <c:plotArea>
      <c:layout/>
      <c:barChart>
        <c:barDir val="bar"/>
        <c:grouping val="clustered"/>
        <c:varyColors val="0"/>
        <c:ser>
          <c:idx val="0"/>
          <c:order val="0"/>
          <c:tx>
            <c:strRef>
              <c:f>Pivot!$B$22</c:f>
              <c:strCache>
                <c:ptCount val="1"/>
                <c:pt idx="0">
                  <c:v>Total</c:v>
                </c:pt>
              </c:strCache>
            </c:strRef>
          </c:tx>
          <c:spPr>
            <a:solidFill>
              <a:srgbClr val="2BAE66"/>
            </a:solidFill>
            <a:ln>
              <a:noFill/>
            </a:ln>
            <a:effectLst/>
          </c:spPr>
          <c:invertIfNegative val="0"/>
          <c:dPt>
            <c:idx val="1"/>
            <c:invertIfNegative val="0"/>
            <c:bubble3D val="0"/>
            <c:spPr>
              <a:solidFill>
                <a:srgbClr val="2BAE66"/>
              </a:solidFill>
              <a:ln>
                <a:noFill/>
              </a:ln>
              <a:effectLst/>
            </c:spPr>
            <c:extLst>
              <c:ext xmlns:c16="http://schemas.microsoft.com/office/drawing/2014/chart" uri="{C3380CC4-5D6E-409C-BE32-E72D297353CC}">
                <c16:uniqueId val="{00000001-466D-4337-A029-25B0C67D57F4}"/>
              </c:ext>
            </c:extLst>
          </c:dPt>
          <c:dPt>
            <c:idx val="2"/>
            <c:invertIfNegative val="0"/>
            <c:bubble3D val="0"/>
            <c:spPr>
              <a:solidFill>
                <a:srgbClr val="2BAE66"/>
              </a:solidFill>
              <a:ln>
                <a:noFill/>
              </a:ln>
              <a:effectLst/>
            </c:spPr>
            <c:extLst>
              <c:ext xmlns:c16="http://schemas.microsoft.com/office/drawing/2014/chart" uri="{C3380CC4-5D6E-409C-BE32-E72D297353CC}">
                <c16:uniqueId val="{00000003-466D-4337-A029-25B0C67D57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Pivot!$A$23:$A$26</c:f>
              <c:strCache>
                <c:ptCount val="3"/>
                <c:pt idx="0">
                  <c:v>50-60 Marks</c:v>
                </c:pt>
                <c:pt idx="1">
                  <c:v>61-70 Marks</c:v>
                </c:pt>
                <c:pt idx="2">
                  <c:v>71 Marks Above</c:v>
                </c:pt>
              </c:strCache>
            </c:strRef>
          </c:cat>
          <c:val>
            <c:numRef>
              <c:f>Pivot!$B$23:$B$26</c:f>
              <c:numCache>
                <c:formatCode>#,##0</c:formatCode>
                <c:ptCount val="3"/>
                <c:pt idx="0">
                  <c:v>21</c:v>
                </c:pt>
                <c:pt idx="1">
                  <c:v>35</c:v>
                </c:pt>
                <c:pt idx="2">
                  <c:v>44</c:v>
                </c:pt>
              </c:numCache>
            </c:numRef>
          </c:val>
          <c:extLst>
            <c:ext xmlns:c16="http://schemas.microsoft.com/office/drawing/2014/chart" uri="{C3380CC4-5D6E-409C-BE32-E72D297353CC}">
              <c16:uniqueId val="{00000004-466D-4337-A029-25B0C67D57F4}"/>
            </c:ext>
          </c:extLst>
        </c:ser>
        <c:dLbls>
          <c:dLblPos val="outEnd"/>
          <c:showLegendKey val="0"/>
          <c:showVal val="1"/>
          <c:showCatName val="0"/>
          <c:showSerName val="0"/>
          <c:showPercent val="0"/>
          <c:showBubbleSize val="0"/>
        </c:dLbls>
        <c:gapWidth val="182"/>
        <c:axId val="447074944"/>
        <c:axId val="447075424"/>
      </c:barChart>
      <c:catAx>
        <c:axId val="44707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75424"/>
        <c:crosses val="autoZero"/>
        <c:auto val="1"/>
        <c:lblAlgn val="ctr"/>
        <c:lblOffset val="100"/>
        <c:noMultiLvlLbl val="0"/>
      </c:catAx>
      <c:valAx>
        <c:axId val="447075424"/>
        <c:scaling>
          <c:orientation val="minMax"/>
        </c:scaling>
        <c:delete val="1"/>
        <c:axPos val="b"/>
        <c:numFmt formatCode="#,##0" sourceLinked="1"/>
        <c:majorTickMark val="none"/>
        <c:minorTickMark val="none"/>
        <c:tickLblPos val="nextTo"/>
        <c:crossAx val="44707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Student_AI_Usage_Dataset!A1"/><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image" Target="../media/image10.png"/><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hyperlink" Target="#Pivot!A1"/><Relationship Id="rId20"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hyperlink" Target="#'Data Dictionary'!A1"/><Relationship Id="rId10" Type="http://schemas.openxmlformats.org/officeDocument/2006/relationships/image" Target="../media/image4.png"/><Relationship Id="rId19"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3" Type="http://schemas.openxmlformats.org/officeDocument/2006/relationships/hyperlink" Target="#Pivot!A1"/><Relationship Id="rId2" Type="http://schemas.openxmlformats.org/officeDocument/2006/relationships/hyperlink" Target="#Student_AI_Usage_Dataset!A1"/><Relationship Id="rId1" Type="http://schemas.openxmlformats.org/officeDocument/2006/relationships/image" Target="../media/image6.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Student_AI_Usage_Dataset!A1"/><Relationship Id="rId1" Type="http://schemas.openxmlformats.org/officeDocument/2006/relationships/image" Target="../media/image6.png"/><Relationship Id="rId4" Type="http://schemas.openxmlformats.org/officeDocument/2006/relationships/hyperlink" Target="#'Data Dictionary'!A1"/></Relationships>
</file>

<file path=xl/drawings/drawing1.xml><?xml version="1.0" encoding="utf-8"?>
<xdr:wsDr xmlns:xdr="http://schemas.openxmlformats.org/drawingml/2006/spreadsheetDrawing" xmlns:a="http://schemas.openxmlformats.org/drawingml/2006/main">
  <xdr:twoCellAnchor>
    <xdr:from>
      <xdr:col>3</xdr:col>
      <xdr:colOff>60325</xdr:colOff>
      <xdr:row>5</xdr:row>
      <xdr:rowOff>57150</xdr:rowOff>
    </xdr:from>
    <xdr:to>
      <xdr:col>8</xdr:col>
      <xdr:colOff>501650</xdr:colOff>
      <xdr:row>15</xdr:row>
      <xdr:rowOff>152400</xdr:rowOff>
    </xdr:to>
    <xdr:graphicFrame macro="">
      <xdr:nvGraphicFramePr>
        <xdr:cNvPr id="2" name="Chart 1">
          <a:extLst>
            <a:ext uri="{FF2B5EF4-FFF2-40B4-BE49-F238E27FC236}">
              <a16:creationId xmlns:a16="http://schemas.microsoft.com/office/drawing/2014/main" id="{63D623FC-AE93-D872-33F9-AEF9C1286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5</xdr:row>
      <xdr:rowOff>12700</xdr:rowOff>
    </xdr:from>
    <xdr:to>
      <xdr:col>14</xdr:col>
      <xdr:colOff>590550</xdr:colOff>
      <xdr:row>15</xdr:row>
      <xdr:rowOff>114300</xdr:rowOff>
    </xdr:to>
    <xdr:graphicFrame macro="">
      <xdr:nvGraphicFramePr>
        <xdr:cNvPr id="3" name="Chart 2">
          <a:extLst>
            <a:ext uri="{FF2B5EF4-FFF2-40B4-BE49-F238E27FC236}">
              <a16:creationId xmlns:a16="http://schemas.microsoft.com/office/drawing/2014/main" id="{315AEEC9-6D90-0FB7-03AF-A4E8C66F0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101600</xdr:colOff>
      <xdr:row>5</xdr:row>
      <xdr:rowOff>95250</xdr:rowOff>
    </xdr:from>
    <xdr:to>
      <xdr:col>19</xdr:col>
      <xdr:colOff>565150</xdr:colOff>
      <xdr:row>15</xdr:row>
      <xdr:rowOff>107950</xdr:rowOff>
    </xdr:to>
    <xdr:graphicFrame macro="">
      <xdr:nvGraphicFramePr>
        <xdr:cNvPr id="4" name="Chart 3">
          <a:extLst>
            <a:ext uri="{FF2B5EF4-FFF2-40B4-BE49-F238E27FC236}">
              <a16:creationId xmlns:a16="http://schemas.microsoft.com/office/drawing/2014/main" id="{2BFED0A4-6893-1E70-837B-50B1EE23F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65617</xdr:colOff>
      <xdr:row>17</xdr:row>
      <xdr:rowOff>71966</xdr:rowOff>
    </xdr:from>
    <xdr:to>
      <xdr:col>8</xdr:col>
      <xdr:colOff>601927</xdr:colOff>
      <xdr:row>28</xdr:row>
      <xdr:rowOff>59531</xdr:rowOff>
    </xdr:to>
    <xdr:graphicFrame macro="">
      <xdr:nvGraphicFramePr>
        <xdr:cNvPr id="5" name="Chart 4">
          <a:extLst>
            <a:ext uri="{FF2B5EF4-FFF2-40B4-BE49-F238E27FC236}">
              <a16:creationId xmlns:a16="http://schemas.microsoft.com/office/drawing/2014/main" id="{069C0601-951B-5AE0-EA40-49B6903E9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105303</xdr:colOff>
      <xdr:row>17</xdr:row>
      <xdr:rowOff>144727</xdr:rowOff>
    </xdr:from>
    <xdr:to>
      <xdr:col>14</xdr:col>
      <xdr:colOff>423332</xdr:colOff>
      <xdr:row>28</xdr:row>
      <xdr:rowOff>19844</xdr:rowOff>
    </xdr:to>
    <xdr:graphicFrame macro="">
      <xdr:nvGraphicFramePr>
        <xdr:cNvPr id="6" name="Chart 5">
          <a:extLst>
            <a:ext uri="{FF2B5EF4-FFF2-40B4-BE49-F238E27FC236}">
              <a16:creationId xmlns:a16="http://schemas.microsoft.com/office/drawing/2014/main" id="{00BF41B9-93D9-B4E7-E1B6-1F6690E6E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80699</xdr:colOff>
      <xdr:row>17</xdr:row>
      <xdr:rowOff>151341</xdr:rowOff>
    </xdr:from>
    <xdr:to>
      <xdr:col>20</xdr:col>
      <xdr:colOff>1</xdr:colOff>
      <xdr:row>27</xdr:row>
      <xdr:rowOff>139178</xdr:rowOff>
    </xdr:to>
    <xdr:graphicFrame macro="">
      <xdr:nvGraphicFramePr>
        <xdr:cNvPr id="7" name="Chart 6">
          <a:extLst>
            <a:ext uri="{FF2B5EF4-FFF2-40B4-BE49-F238E27FC236}">
              <a16:creationId xmlns:a16="http://schemas.microsoft.com/office/drawing/2014/main" id="{12679243-AF5E-10C6-C0F3-4B71A77AD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411445</xdr:colOff>
      <xdr:row>2</xdr:row>
      <xdr:rowOff>50136</xdr:rowOff>
    </xdr:from>
    <xdr:to>
      <xdr:col>8</xdr:col>
      <xdr:colOff>73528</xdr:colOff>
      <xdr:row>3</xdr:row>
      <xdr:rowOff>135287</xdr:rowOff>
    </xdr:to>
    <xdr:pic>
      <xdr:nvPicPr>
        <xdr:cNvPr id="13" name="Picture 12">
          <a:extLst>
            <a:ext uri="{FF2B5EF4-FFF2-40B4-BE49-F238E27FC236}">
              <a16:creationId xmlns:a16="http://schemas.microsoft.com/office/drawing/2014/main" id="{1AC70412-D57D-1E93-4E48-681598D0D8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70726" y="419996"/>
          <a:ext cx="272573" cy="270080"/>
        </a:xfrm>
        <a:prstGeom prst="rect">
          <a:avLst/>
        </a:prstGeom>
      </xdr:spPr>
    </xdr:pic>
    <xdr:clientData/>
  </xdr:twoCellAnchor>
  <xdr:twoCellAnchor editAs="oneCell">
    <xdr:from>
      <xdr:col>4</xdr:col>
      <xdr:colOff>400676</xdr:colOff>
      <xdr:row>2</xdr:row>
      <xdr:rowOff>6684</xdr:rowOff>
    </xdr:from>
    <xdr:to>
      <xdr:col>5</xdr:col>
      <xdr:colOff>132563</xdr:colOff>
      <xdr:row>3</xdr:row>
      <xdr:rowOff>163391</xdr:rowOff>
    </xdr:to>
    <xdr:pic>
      <xdr:nvPicPr>
        <xdr:cNvPr id="15" name="Picture 14">
          <a:extLst>
            <a:ext uri="{FF2B5EF4-FFF2-40B4-BE49-F238E27FC236}">
              <a16:creationId xmlns:a16="http://schemas.microsoft.com/office/drawing/2014/main" id="{66A9C571-6870-ADFC-352F-8503CC70DEF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28483" y="376544"/>
          <a:ext cx="342379" cy="341636"/>
        </a:xfrm>
        <a:prstGeom prst="rect">
          <a:avLst/>
        </a:prstGeom>
      </xdr:spPr>
    </xdr:pic>
    <xdr:clientData/>
  </xdr:twoCellAnchor>
  <xdr:twoCellAnchor editAs="oneCell">
    <xdr:from>
      <xdr:col>10</xdr:col>
      <xdr:colOff>1026769</xdr:colOff>
      <xdr:row>2</xdr:row>
      <xdr:rowOff>33274</xdr:rowOff>
    </xdr:from>
    <xdr:to>
      <xdr:col>11</xdr:col>
      <xdr:colOff>202681</xdr:colOff>
      <xdr:row>3</xdr:row>
      <xdr:rowOff>160275</xdr:rowOff>
    </xdr:to>
    <xdr:pic>
      <xdr:nvPicPr>
        <xdr:cNvPr id="17" name="Picture 16">
          <a:extLst>
            <a:ext uri="{FF2B5EF4-FFF2-40B4-BE49-F238E27FC236}">
              <a16:creationId xmlns:a16="http://schemas.microsoft.com/office/drawing/2014/main" id="{C288AC86-E963-943F-03BB-6F4EACD5C90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06302" y="405807"/>
          <a:ext cx="310445" cy="313268"/>
        </a:xfrm>
        <a:prstGeom prst="rect">
          <a:avLst/>
        </a:prstGeom>
      </xdr:spPr>
    </xdr:pic>
    <xdr:clientData/>
  </xdr:twoCellAnchor>
  <xdr:twoCellAnchor editAs="oneCell">
    <xdr:from>
      <xdr:col>16</xdr:col>
      <xdr:colOff>1134572</xdr:colOff>
      <xdr:row>2</xdr:row>
      <xdr:rowOff>37994</xdr:rowOff>
    </xdr:from>
    <xdr:to>
      <xdr:col>17</xdr:col>
      <xdr:colOff>312514</xdr:colOff>
      <xdr:row>3</xdr:row>
      <xdr:rowOff>171087</xdr:rowOff>
    </xdr:to>
    <xdr:pic>
      <xdr:nvPicPr>
        <xdr:cNvPr id="25" name="Picture 24">
          <a:extLst>
            <a:ext uri="{FF2B5EF4-FFF2-40B4-BE49-F238E27FC236}">
              <a16:creationId xmlns:a16="http://schemas.microsoft.com/office/drawing/2014/main" id="{E5CDF7BA-32F6-A7B7-098C-E9CF64501F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392439" y="410527"/>
          <a:ext cx="311048" cy="319360"/>
        </a:xfrm>
        <a:prstGeom prst="rect">
          <a:avLst/>
        </a:prstGeom>
      </xdr:spPr>
    </xdr:pic>
    <xdr:clientData/>
  </xdr:twoCellAnchor>
  <xdr:twoCellAnchor editAs="oneCell">
    <xdr:from>
      <xdr:col>0</xdr:col>
      <xdr:colOff>20484</xdr:colOff>
      <xdr:row>5</xdr:row>
      <xdr:rowOff>13657</xdr:rowOff>
    </xdr:from>
    <xdr:to>
      <xdr:col>1</xdr:col>
      <xdr:colOff>1373188</xdr:colOff>
      <xdr:row>8</xdr:row>
      <xdr:rowOff>146539</xdr:rowOff>
    </xdr:to>
    <mc:AlternateContent xmlns:mc="http://schemas.openxmlformats.org/markup-compatibility/2006">
      <mc:Choice xmlns:a14="http://schemas.microsoft.com/office/drawing/2010/main" Requires="a14">
        <xdr:graphicFrame macro="">
          <xdr:nvGraphicFramePr>
            <xdr:cNvPr id="26" name="Age_Group">
              <a:extLst>
                <a:ext uri="{FF2B5EF4-FFF2-40B4-BE49-F238E27FC236}">
                  <a16:creationId xmlns:a16="http://schemas.microsoft.com/office/drawing/2014/main" id="{6787F87D-0DEF-4B49-93D1-CDC31F2B405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20484" y="930879"/>
              <a:ext cx="2022982" cy="683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166687</xdr:rowOff>
    </xdr:from>
    <xdr:to>
      <xdr:col>1</xdr:col>
      <xdr:colOff>1357312</xdr:colOff>
      <xdr:row>11</xdr:row>
      <xdr:rowOff>31920</xdr:rowOff>
    </xdr:to>
    <mc:AlternateContent xmlns:mc="http://schemas.openxmlformats.org/markup-compatibility/2006">
      <mc:Choice xmlns:a14="http://schemas.microsoft.com/office/drawing/2010/main" Requires="a14">
        <xdr:graphicFrame macro="">
          <xdr:nvGraphicFramePr>
            <xdr:cNvPr id="27" name="education_level">
              <a:extLst>
                <a:ext uri="{FF2B5EF4-FFF2-40B4-BE49-F238E27FC236}">
                  <a16:creationId xmlns:a16="http://schemas.microsoft.com/office/drawing/2014/main" id="{F5FAA54D-9DD6-461C-8A8E-6A3D89FC5080}"/>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0" y="1634243"/>
              <a:ext cx="2027590" cy="415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7938</xdr:colOff>
      <xdr:row>11</xdr:row>
      <xdr:rowOff>51293</xdr:rowOff>
    </xdr:from>
    <xdr:to>
      <xdr:col>1</xdr:col>
      <xdr:colOff>1357312</xdr:colOff>
      <xdr:row>13</xdr:row>
      <xdr:rowOff>99088</xdr:rowOff>
    </xdr:to>
    <mc:AlternateContent xmlns:mc="http://schemas.openxmlformats.org/markup-compatibility/2006">
      <mc:Choice xmlns:a14="http://schemas.microsoft.com/office/drawing/2010/main" Requires="a14">
        <xdr:graphicFrame macro="">
          <xdr:nvGraphicFramePr>
            <xdr:cNvPr id="28" name="uses_ai">
              <a:extLst>
                <a:ext uri="{FF2B5EF4-FFF2-40B4-BE49-F238E27FC236}">
                  <a16:creationId xmlns:a16="http://schemas.microsoft.com/office/drawing/2014/main" id="{FA4F89E5-EE9F-49C0-A1BD-CBCC074904AE}"/>
                </a:ext>
              </a:extLst>
            </xdr:cNvPr>
            <xdr:cNvGraphicFramePr/>
          </xdr:nvGraphicFramePr>
          <xdr:xfrm>
            <a:off x="0" y="0"/>
            <a:ext cx="0" cy="0"/>
          </xdr:xfrm>
          <a:graphic>
            <a:graphicData uri="http://schemas.microsoft.com/office/drawing/2010/slicer">
              <sle:slicer xmlns:sle="http://schemas.microsoft.com/office/drawing/2010/slicer" name="uses_ai"/>
            </a:graphicData>
          </a:graphic>
        </xdr:graphicFrame>
      </mc:Choice>
      <mc:Fallback>
        <xdr:sp macro="" textlink="">
          <xdr:nvSpPr>
            <xdr:cNvPr id="0" name=""/>
            <xdr:cNvSpPr>
              <a:spLocks noTextEdit="1"/>
            </xdr:cNvSpPr>
          </xdr:nvSpPr>
          <xdr:spPr>
            <a:xfrm>
              <a:off x="7938" y="2069182"/>
              <a:ext cx="2019652" cy="414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115133</xdr:rowOff>
    </xdr:from>
    <xdr:to>
      <xdr:col>1</xdr:col>
      <xdr:colOff>1333500</xdr:colOff>
      <xdr:row>17</xdr:row>
      <xdr:rowOff>87821</xdr:rowOff>
    </xdr:to>
    <mc:AlternateContent xmlns:mc="http://schemas.openxmlformats.org/markup-compatibility/2006">
      <mc:Choice xmlns:a14="http://schemas.microsoft.com/office/drawing/2010/main" Requires="a14">
        <xdr:graphicFrame macro="">
          <xdr:nvGraphicFramePr>
            <xdr:cNvPr id="29" name="ai_tools_used">
              <a:extLst>
                <a:ext uri="{FF2B5EF4-FFF2-40B4-BE49-F238E27FC236}">
                  <a16:creationId xmlns:a16="http://schemas.microsoft.com/office/drawing/2014/main" id="{675E5DA7-34BA-4C85-9745-B844D0DA82A4}"/>
                </a:ext>
              </a:extLst>
            </xdr:cNvPr>
            <xdr:cNvGraphicFramePr/>
          </xdr:nvGraphicFramePr>
          <xdr:xfrm>
            <a:off x="0" y="0"/>
            <a:ext cx="0" cy="0"/>
          </xdr:xfrm>
          <a:graphic>
            <a:graphicData uri="http://schemas.microsoft.com/office/drawing/2010/slicer">
              <sle:slicer xmlns:sle="http://schemas.microsoft.com/office/drawing/2010/slicer" name="ai_tools_used"/>
            </a:graphicData>
          </a:graphic>
        </xdr:graphicFrame>
      </mc:Choice>
      <mc:Fallback>
        <xdr:sp macro="" textlink="">
          <xdr:nvSpPr>
            <xdr:cNvPr id="0" name=""/>
            <xdr:cNvSpPr>
              <a:spLocks noTextEdit="1"/>
            </xdr:cNvSpPr>
          </xdr:nvSpPr>
          <xdr:spPr>
            <a:xfrm>
              <a:off x="0" y="2499911"/>
              <a:ext cx="2003778" cy="706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99089</xdr:rowOff>
    </xdr:from>
    <xdr:to>
      <xdr:col>1</xdr:col>
      <xdr:colOff>1349374</xdr:colOff>
      <xdr:row>21</xdr:row>
      <xdr:rowOff>99089</xdr:rowOff>
    </xdr:to>
    <mc:AlternateContent xmlns:mc="http://schemas.openxmlformats.org/markup-compatibility/2006">
      <mc:Choice xmlns:a14="http://schemas.microsoft.com/office/drawing/2010/main" Requires="a14">
        <xdr:graphicFrame macro="">
          <xdr:nvGraphicFramePr>
            <xdr:cNvPr id="30" name="purpose_of_ai">
              <a:extLst>
                <a:ext uri="{FF2B5EF4-FFF2-40B4-BE49-F238E27FC236}">
                  <a16:creationId xmlns:a16="http://schemas.microsoft.com/office/drawing/2014/main" id="{20B4DD88-2E3B-4765-B996-E40ADBF55ECA}"/>
                </a:ext>
              </a:extLst>
            </xdr:cNvPr>
            <xdr:cNvGraphicFramePr/>
          </xdr:nvGraphicFramePr>
          <xdr:xfrm>
            <a:off x="0" y="0"/>
            <a:ext cx="0" cy="0"/>
          </xdr:xfrm>
          <a:graphic>
            <a:graphicData uri="http://schemas.microsoft.com/office/drawing/2010/slicer">
              <sle:slicer xmlns:sle="http://schemas.microsoft.com/office/drawing/2010/slicer" name="purpose_of_ai"/>
            </a:graphicData>
          </a:graphic>
        </xdr:graphicFrame>
      </mc:Choice>
      <mc:Fallback>
        <xdr:sp macro="" textlink="">
          <xdr:nvSpPr>
            <xdr:cNvPr id="0" name=""/>
            <xdr:cNvSpPr>
              <a:spLocks noTextEdit="1"/>
            </xdr:cNvSpPr>
          </xdr:nvSpPr>
          <xdr:spPr>
            <a:xfrm>
              <a:off x="0" y="3217645"/>
              <a:ext cx="2019652" cy="733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113855</xdr:rowOff>
    </xdr:from>
    <xdr:to>
      <xdr:col>1</xdr:col>
      <xdr:colOff>1333500</xdr:colOff>
      <xdr:row>25</xdr:row>
      <xdr:rowOff>72887</xdr:rowOff>
    </xdr:to>
    <mc:AlternateContent xmlns:mc="http://schemas.openxmlformats.org/markup-compatibility/2006">
      <mc:Choice xmlns:a14="http://schemas.microsoft.com/office/drawing/2010/main" Requires="a14">
        <xdr:graphicFrame macro="">
          <xdr:nvGraphicFramePr>
            <xdr:cNvPr id="31" name="Study_Hours">
              <a:extLst>
                <a:ext uri="{FF2B5EF4-FFF2-40B4-BE49-F238E27FC236}">
                  <a16:creationId xmlns:a16="http://schemas.microsoft.com/office/drawing/2014/main" id="{812E3009-2AF0-455D-A64E-EE85D9E05F3D}"/>
                </a:ext>
              </a:extLst>
            </xdr:cNvPr>
            <xdr:cNvGraphicFramePr/>
          </xdr:nvGraphicFramePr>
          <xdr:xfrm>
            <a:off x="0" y="0"/>
            <a:ext cx="0" cy="0"/>
          </xdr:xfrm>
          <a:graphic>
            <a:graphicData uri="http://schemas.microsoft.com/office/drawing/2010/slicer">
              <sle:slicer xmlns:sle="http://schemas.microsoft.com/office/drawing/2010/slicer" name="Study_Hours"/>
            </a:graphicData>
          </a:graphic>
        </xdr:graphicFrame>
      </mc:Choice>
      <mc:Fallback>
        <xdr:sp macro="" textlink="">
          <xdr:nvSpPr>
            <xdr:cNvPr id="0" name=""/>
            <xdr:cNvSpPr>
              <a:spLocks noTextEdit="1"/>
            </xdr:cNvSpPr>
          </xdr:nvSpPr>
          <xdr:spPr>
            <a:xfrm>
              <a:off x="0" y="3966188"/>
              <a:ext cx="2003778" cy="692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167326</xdr:colOff>
      <xdr:row>0</xdr:row>
      <xdr:rowOff>78489</xdr:rowOff>
    </xdr:from>
    <xdr:to>
      <xdr:col>1</xdr:col>
      <xdr:colOff>205963</xdr:colOff>
      <xdr:row>4</xdr:row>
      <xdr:rowOff>50159</xdr:rowOff>
    </xdr:to>
    <xdr:pic>
      <xdr:nvPicPr>
        <xdr:cNvPr id="34" name="Picture 33">
          <a:extLst>
            <a:ext uri="{FF2B5EF4-FFF2-40B4-BE49-F238E27FC236}">
              <a16:creationId xmlns:a16="http://schemas.microsoft.com/office/drawing/2014/main" id="{05D3309D-F722-2E8C-A404-64E104AFFB3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67326" y="78489"/>
          <a:ext cx="708915" cy="705448"/>
        </a:xfrm>
        <a:prstGeom prst="rect">
          <a:avLst/>
        </a:prstGeom>
      </xdr:spPr>
    </xdr:pic>
    <xdr:clientData/>
  </xdr:twoCellAnchor>
  <xdr:twoCellAnchor>
    <xdr:from>
      <xdr:col>1</xdr:col>
      <xdr:colOff>185772</xdr:colOff>
      <xdr:row>0</xdr:row>
      <xdr:rowOff>59324</xdr:rowOff>
    </xdr:from>
    <xdr:to>
      <xdr:col>1</xdr:col>
      <xdr:colOff>1220452</xdr:colOff>
      <xdr:row>4</xdr:row>
      <xdr:rowOff>146963</xdr:rowOff>
    </xdr:to>
    <xdr:sp macro="" textlink="">
      <xdr:nvSpPr>
        <xdr:cNvPr id="35" name="TextBox 34">
          <a:extLst>
            <a:ext uri="{FF2B5EF4-FFF2-40B4-BE49-F238E27FC236}">
              <a16:creationId xmlns:a16="http://schemas.microsoft.com/office/drawing/2014/main" id="{31D870D3-F757-7E8A-F790-38770DE6467C}"/>
            </a:ext>
          </a:extLst>
        </xdr:cNvPr>
        <xdr:cNvSpPr txBox="1"/>
      </xdr:nvSpPr>
      <xdr:spPr>
        <a:xfrm>
          <a:off x="856050" y="59324"/>
          <a:ext cx="1034680" cy="82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tx1"/>
              </a:solidFill>
              <a:latin typeface="Aptos" panose="020B0004020202020204" pitchFamily="34" charset="0"/>
            </a:rPr>
            <a:t>Waaberi</a:t>
          </a:r>
          <a:r>
            <a:rPr lang="en-US" sz="1400" baseline="0">
              <a:solidFill>
                <a:schemeClr val="tx1"/>
              </a:solidFill>
              <a:latin typeface="Aptos" panose="020B0004020202020204" pitchFamily="34" charset="0"/>
            </a:rPr>
            <a:t> Secondary School</a:t>
          </a:r>
          <a:endParaRPr lang="en-US" sz="1400">
            <a:solidFill>
              <a:schemeClr val="tx1"/>
            </a:solidFill>
            <a:latin typeface="Aptos" panose="020B0004020202020204" pitchFamily="34" charset="0"/>
          </a:endParaRPr>
        </a:p>
      </xdr:txBody>
    </xdr:sp>
    <xdr:clientData/>
  </xdr:twoCellAnchor>
  <xdr:twoCellAnchor>
    <xdr:from>
      <xdr:col>11</xdr:col>
      <xdr:colOff>172602</xdr:colOff>
      <xdr:row>0</xdr:row>
      <xdr:rowOff>20403</xdr:rowOff>
    </xdr:from>
    <xdr:to>
      <xdr:col>13</xdr:col>
      <xdr:colOff>136898</xdr:colOff>
      <xdr:row>1</xdr:row>
      <xdr:rowOff>157581</xdr:rowOff>
    </xdr:to>
    <xdr:grpSp>
      <xdr:nvGrpSpPr>
        <xdr:cNvPr id="47" name="Group 46">
          <a:extLst>
            <a:ext uri="{FF2B5EF4-FFF2-40B4-BE49-F238E27FC236}">
              <a16:creationId xmlns:a16="http://schemas.microsoft.com/office/drawing/2014/main" id="{FA33C31F-38D8-8858-41F0-01E4B773681A}"/>
            </a:ext>
          </a:extLst>
        </xdr:cNvPr>
        <xdr:cNvGrpSpPr/>
      </xdr:nvGrpSpPr>
      <xdr:grpSpPr>
        <a:xfrm>
          <a:off x="7348102" y="20403"/>
          <a:ext cx="1177852" cy="320622"/>
          <a:chOff x="7781138" y="20403"/>
          <a:chExt cx="1185072" cy="319310"/>
        </a:xfrm>
        <a:effectLst>
          <a:outerShdw blurRad="50800" dist="38100" dir="2700000" algn="tl" rotWithShape="0">
            <a:prstClr val="black">
              <a:alpha val="40000"/>
            </a:prstClr>
          </a:outerShdw>
        </a:effectLst>
      </xdr:grpSpPr>
      <xdr:pic>
        <xdr:nvPicPr>
          <xdr:cNvPr id="37" name="Picture 36">
            <a:extLst>
              <a:ext uri="{FF2B5EF4-FFF2-40B4-BE49-F238E27FC236}">
                <a16:creationId xmlns:a16="http://schemas.microsoft.com/office/drawing/2014/main" id="{83DEAC43-E997-7CDB-0118-28E0D7B6ACF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81138" y="20403"/>
            <a:ext cx="319665" cy="319310"/>
          </a:xfrm>
          <a:prstGeom prst="rect">
            <a:avLst/>
          </a:prstGeom>
        </xdr:spPr>
      </xdr:pic>
      <xdr:sp macro="" textlink="">
        <xdr:nvSpPr>
          <xdr:cNvPr id="38" name="TextBox 37">
            <a:hlinkClick xmlns:r="http://schemas.openxmlformats.org/officeDocument/2006/relationships" r:id="rId13"/>
            <a:extLst>
              <a:ext uri="{FF2B5EF4-FFF2-40B4-BE49-F238E27FC236}">
                <a16:creationId xmlns:a16="http://schemas.microsoft.com/office/drawing/2014/main" id="{7B92EE7A-A3F5-E03A-7CEB-A8EADBAD01ED}"/>
              </a:ext>
            </a:extLst>
          </xdr:cNvPr>
          <xdr:cNvSpPr txBox="1"/>
        </xdr:nvSpPr>
        <xdr:spPr>
          <a:xfrm>
            <a:off x="8039598" y="71407"/>
            <a:ext cx="926612" cy="23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Clean Data</a:t>
            </a:r>
          </a:p>
        </xdr:txBody>
      </xdr:sp>
    </xdr:grpSp>
    <xdr:clientData/>
  </xdr:twoCellAnchor>
  <xdr:twoCellAnchor>
    <xdr:from>
      <xdr:col>16</xdr:col>
      <xdr:colOff>393200</xdr:colOff>
      <xdr:row>0</xdr:row>
      <xdr:rowOff>56097</xdr:rowOff>
    </xdr:from>
    <xdr:to>
      <xdr:col>18</xdr:col>
      <xdr:colOff>201401</xdr:colOff>
      <xdr:row>1</xdr:row>
      <xdr:rowOff>167380</xdr:rowOff>
    </xdr:to>
    <xdr:grpSp>
      <xdr:nvGrpSpPr>
        <xdr:cNvPr id="48" name="Group 47">
          <a:extLst>
            <a:ext uri="{FF2B5EF4-FFF2-40B4-BE49-F238E27FC236}">
              <a16:creationId xmlns:a16="http://schemas.microsoft.com/office/drawing/2014/main" id="{F3E498C6-2D7B-3F4E-3682-15E3E9A1F2E4}"/>
            </a:ext>
          </a:extLst>
        </xdr:cNvPr>
        <xdr:cNvGrpSpPr/>
      </xdr:nvGrpSpPr>
      <xdr:grpSpPr>
        <a:xfrm>
          <a:off x="10115756" y="56097"/>
          <a:ext cx="1353367" cy="294727"/>
          <a:chOff x="9467721" y="37422"/>
          <a:chExt cx="1111819" cy="298048"/>
        </a:xfrm>
        <a:effectLst>
          <a:outerShdw blurRad="50800" dist="38100" dir="2700000" algn="tl" rotWithShape="0">
            <a:prstClr val="black">
              <a:alpha val="40000"/>
            </a:prstClr>
          </a:outerShdw>
        </a:effectLst>
      </xdr:grpSpPr>
      <xdr:pic>
        <xdr:nvPicPr>
          <xdr:cNvPr id="40" name="Picture 39">
            <a:extLst>
              <a:ext uri="{FF2B5EF4-FFF2-40B4-BE49-F238E27FC236}">
                <a16:creationId xmlns:a16="http://schemas.microsoft.com/office/drawing/2014/main" id="{FD2321B9-4874-9241-43CF-27E99345699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467721" y="37422"/>
            <a:ext cx="367137" cy="298048"/>
          </a:xfrm>
          <a:prstGeom prst="rect">
            <a:avLst/>
          </a:prstGeom>
        </xdr:spPr>
      </xdr:pic>
      <xdr:sp macro="" textlink="">
        <xdr:nvSpPr>
          <xdr:cNvPr id="41" name="TextBox 40">
            <a:hlinkClick xmlns:r="http://schemas.openxmlformats.org/officeDocument/2006/relationships" r:id="rId15"/>
            <a:extLst>
              <a:ext uri="{FF2B5EF4-FFF2-40B4-BE49-F238E27FC236}">
                <a16:creationId xmlns:a16="http://schemas.microsoft.com/office/drawing/2014/main" id="{C88B026D-E737-F617-54CA-1BDE3F64C7FE}"/>
              </a:ext>
            </a:extLst>
          </xdr:cNvPr>
          <xdr:cNvSpPr txBox="1"/>
        </xdr:nvSpPr>
        <xdr:spPr>
          <a:xfrm>
            <a:off x="9723341" y="45817"/>
            <a:ext cx="856199" cy="213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Dictionary</a:t>
            </a:r>
          </a:p>
        </xdr:txBody>
      </xdr:sp>
    </xdr:grpSp>
    <xdr:clientData/>
  </xdr:twoCellAnchor>
  <xdr:twoCellAnchor>
    <xdr:from>
      <xdr:col>19</xdr:col>
      <xdr:colOff>179046</xdr:colOff>
      <xdr:row>0</xdr:row>
      <xdr:rowOff>63870</xdr:rowOff>
    </xdr:from>
    <xdr:to>
      <xdr:col>20</xdr:col>
      <xdr:colOff>48392</xdr:colOff>
      <xdr:row>1</xdr:row>
      <xdr:rowOff>165134</xdr:rowOff>
    </xdr:to>
    <xdr:grpSp>
      <xdr:nvGrpSpPr>
        <xdr:cNvPr id="45" name="Group 44">
          <a:extLst>
            <a:ext uri="{FF2B5EF4-FFF2-40B4-BE49-F238E27FC236}">
              <a16:creationId xmlns:a16="http://schemas.microsoft.com/office/drawing/2014/main" id="{78F85B6B-28E2-9976-2F80-6B95128BECB2}"/>
            </a:ext>
          </a:extLst>
        </xdr:cNvPr>
        <xdr:cNvGrpSpPr/>
      </xdr:nvGrpSpPr>
      <xdr:grpSpPr>
        <a:xfrm>
          <a:off x="12180546" y="63870"/>
          <a:ext cx="1174624" cy="284708"/>
          <a:chOff x="11315720" y="21709"/>
          <a:chExt cx="1097520" cy="336812"/>
        </a:xfrm>
        <a:effectLst>
          <a:outerShdw blurRad="50800" dist="38100" dir="2700000" algn="tl" rotWithShape="0">
            <a:prstClr val="black">
              <a:alpha val="40000"/>
            </a:prstClr>
          </a:outerShdw>
        </a:effectLst>
      </xdr:grpSpPr>
      <xdr:pic>
        <xdr:nvPicPr>
          <xdr:cNvPr id="43" name="Picture 42">
            <a:hlinkClick xmlns:r="http://schemas.openxmlformats.org/officeDocument/2006/relationships" r:id="rId16"/>
            <a:extLst>
              <a:ext uri="{FF2B5EF4-FFF2-40B4-BE49-F238E27FC236}">
                <a16:creationId xmlns:a16="http://schemas.microsoft.com/office/drawing/2014/main" id="{6DB44E58-0B86-A28D-8C66-182F5E816A5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315720" y="21709"/>
            <a:ext cx="342419" cy="336812"/>
          </a:xfrm>
          <a:prstGeom prst="rect">
            <a:avLst/>
          </a:prstGeom>
        </xdr:spPr>
      </xdr:pic>
      <xdr:sp macro="" textlink="">
        <xdr:nvSpPr>
          <xdr:cNvPr id="44" name="TextBox 43">
            <a:extLst>
              <a:ext uri="{FF2B5EF4-FFF2-40B4-BE49-F238E27FC236}">
                <a16:creationId xmlns:a16="http://schemas.microsoft.com/office/drawing/2014/main" id="{92D295C6-1011-6903-9D6E-FC4746847C27}"/>
              </a:ext>
            </a:extLst>
          </xdr:cNvPr>
          <xdr:cNvSpPr txBox="1"/>
        </xdr:nvSpPr>
        <xdr:spPr>
          <a:xfrm>
            <a:off x="11593900" y="22530"/>
            <a:ext cx="819340" cy="29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Summarize</a:t>
            </a:r>
          </a:p>
        </xdr:txBody>
      </xdr:sp>
    </xdr:grpSp>
    <xdr:clientData/>
  </xdr:twoCellAnchor>
  <xdr:twoCellAnchor editAs="oneCell">
    <xdr:from>
      <xdr:col>19</xdr:col>
      <xdr:colOff>1174048</xdr:colOff>
      <xdr:row>1</xdr:row>
      <xdr:rowOff>182034</xdr:rowOff>
    </xdr:from>
    <xdr:to>
      <xdr:col>21</xdr:col>
      <xdr:colOff>8471</xdr:colOff>
      <xdr:row>3</xdr:row>
      <xdr:rowOff>150990</xdr:rowOff>
    </xdr:to>
    <xdr:pic>
      <xdr:nvPicPr>
        <xdr:cNvPr id="52" name="Picture 51">
          <a:extLst>
            <a:ext uri="{FF2B5EF4-FFF2-40B4-BE49-F238E27FC236}">
              <a16:creationId xmlns:a16="http://schemas.microsoft.com/office/drawing/2014/main" id="{3C3D7490-9D7F-B023-CBF6-8AE640FBE88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714115" y="368301"/>
          <a:ext cx="333022" cy="341489"/>
        </a:xfrm>
        <a:prstGeom prst="rect">
          <a:avLst/>
        </a:prstGeom>
      </xdr:spPr>
    </xdr:pic>
    <xdr:clientData/>
  </xdr:twoCellAnchor>
  <xdr:twoCellAnchor editAs="oneCell">
    <xdr:from>
      <xdr:col>0</xdr:col>
      <xdr:colOff>22706</xdr:colOff>
      <xdr:row>25</xdr:row>
      <xdr:rowOff>103429</xdr:rowOff>
    </xdr:from>
    <xdr:to>
      <xdr:col>1</xdr:col>
      <xdr:colOff>1308581</xdr:colOff>
      <xdr:row>29</xdr:row>
      <xdr:rowOff>95220</xdr:rowOff>
    </xdr:to>
    <mc:AlternateContent xmlns:mc="http://schemas.openxmlformats.org/markup-compatibility/2006">
      <mc:Choice xmlns:a14="http://schemas.microsoft.com/office/drawing/2010/main" Requires="a14">
        <xdr:graphicFrame macro="">
          <xdr:nvGraphicFramePr>
            <xdr:cNvPr id="55" name="Grades_before_Ai_">
              <a:extLst>
                <a:ext uri="{FF2B5EF4-FFF2-40B4-BE49-F238E27FC236}">
                  <a16:creationId xmlns:a16="http://schemas.microsoft.com/office/drawing/2014/main" id="{5D557D69-5116-4B2D-AC9A-AAE817C12071}"/>
                </a:ext>
              </a:extLst>
            </xdr:cNvPr>
            <xdr:cNvGraphicFramePr/>
          </xdr:nvGraphicFramePr>
          <xdr:xfrm>
            <a:off x="0" y="0"/>
            <a:ext cx="0" cy="0"/>
          </xdr:xfrm>
          <a:graphic>
            <a:graphicData uri="http://schemas.microsoft.com/office/drawing/2010/slicer">
              <sle:slicer xmlns:sle="http://schemas.microsoft.com/office/drawing/2010/slicer" name="Grades_before_Ai_"/>
            </a:graphicData>
          </a:graphic>
        </xdr:graphicFrame>
      </mc:Choice>
      <mc:Fallback>
        <xdr:sp macro="" textlink="">
          <xdr:nvSpPr>
            <xdr:cNvPr id="0" name=""/>
            <xdr:cNvSpPr>
              <a:spLocks noTextEdit="1"/>
            </xdr:cNvSpPr>
          </xdr:nvSpPr>
          <xdr:spPr>
            <a:xfrm>
              <a:off x="22706" y="4689540"/>
              <a:ext cx="1956153" cy="725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28387</xdr:colOff>
      <xdr:row>29</xdr:row>
      <xdr:rowOff>117084</xdr:rowOff>
    </xdr:from>
    <xdr:to>
      <xdr:col>1</xdr:col>
      <xdr:colOff>1317625</xdr:colOff>
      <xdr:row>29</xdr:row>
      <xdr:rowOff>865637</xdr:rowOff>
    </xdr:to>
    <mc:AlternateContent xmlns:mc="http://schemas.openxmlformats.org/markup-compatibility/2006">
      <mc:Choice xmlns:a14="http://schemas.microsoft.com/office/drawing/2010/main" Requires="a14">
        <xdr:graphicFrame macro="">
          <xdr:nvGraphicFramePr>
            <xdr:cNvPr id="56" name="Grades_After_Ai_">
              <a:extLst>
                <a:ext uri="{FF2B5EF4-FFF2-40B4-BE49-F238E27FC236}">
                  <a16:creationId xmlns:a16="http://schemas.microsoft.com/office/drawing/2014/main" id="{D0603E46-2539-4BAD-AA5B-A4A2AEA1CFFD}"/>
                </a:ext>
              </a:extLst>
            </xdr:cNvPr>
            <xdr:cNvGraphicFramePr/>
          </xdr:nvGraphicFramePr>
          <xdr:xfrm>
            <a:off x="0" y="0"/>
            <a:ext cx="0" cy="0"/>
          </xdr:xfrm>
          <a:graphic>
            <a:graphicData uri="http://schemas.microsoft.com/office/drawing/2010/slicer">
              <sle:slicer xmlns:sle="http://schemas.microsoft.com/office/drawing/2010/slicer" name="Grades_After_Ai_"/>
            </a:graphicData>
          </a:graphic>
        </xdr:graphicFrame>
      </mc:Choice>
      <mc:Fallback>
        <xdr:sp macro="" textlink="">
          <xdr:nvSpPr>
            <xdr:cNvPr id="0" name=""/>
            <xdr:cNvSpPr>
              <a:spLocks noTextEdit="1"/>
            </xdr:cNvSpPr>
          </xdr:nvSpPr>
          <xdr:spPr>
            <a:xfrm>
              <a:off x="28387" y="5436973"/>
              <a:ext cx="1959516" cy="748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135467</xdr:colOff>
      <xdr:row>28</xdr:row>
      <xdr:rowOff>127000</xdr:rowOff>
    </xdr:from>
    <xdr:to>
      <xdr:col>23</xdr:col>
      <xdr:colOff>1473200</xdr:colOff>
      <xdr:row>29</xdr:row>
      <xdr:rowOff>50800</xdr:rowOff>
    </xdr:to>
    <xdr:sp macro="" textlink="">
      <xdr:nvSpPr>
        <xdr:cNvPr id="57" name="Rectangle 56">
          <a:extLst>
            <a:ext uri="{FF2B5EF4-FFF2-40B4-BE49-F238E27FC236}">
              <a16:creationId xmlns:a16="http://schemas.microsoft.com/office/drawing/2014/main" id="{89D8FF58-0442-5324-AE5B-32B1332799F7}"/>
            </a:ext>
          </a:extLst>
        </xdr:cNvPr>
        <xdr:cNvSpPr/>
      </xdr:nvSpPr>
      <xdr:spPr>
        <a:xfrm>
          <a:off x="1761067" y="5342467"/>
          <a:ext cx="13970000" cy="110066"/>
        </a:xfrm>
        <a:prstGeom prst="rect">
          <a:avLst/>
        </a:prstGeom>
        <a:solidFill>
          <a:srgbClr val="603F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56708</xdr:colOff>
      <xdr:row>29</xdr:row>
      <xdr:rowOff>132239</xdr:rowOff>
    </xdr:from>
    <xdr:to>
      <xdr:col>14</xdr:col>
      <xdr:colOff>480540</xdr:colOff>
      <xdr:row>29</xdr:row>
      <xdr:rowOff>775705</xdr:rowOff>
    </xdr:to>
    <xdr:sp macro="" textlink="">
      <xdr:nvSpPr>
        <xdr:cNvPr id="58" name="TextBox 57">
          <a:extLst>
            <a:ext uri="{FF2B5EF4-FFF2-40B4-BE49-F238E27FC236}">
              <a16:creationId xmlns:a16="http://schemas.microsoft.com/office/drawing/2014/main" id="{12510D77-0BCC-E78B-25C8-7F37AE939508}"/>
            </a:ext>
          </a:extLst>
        </xdr:cNvPr>
        <xdr:cNvSpPr txBox="1"/>
      </xdr:nvSpPr>
      <xdr:spPr>
        <a:xfrm>
          <a:off x="5985836" y="5485437"/>
          <a:ext cx="3539762" cy="643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atin typeface="Times New Roman" panose="02020603050405020304" pitchFamily="18" charset="0"/>
              <a:cs typeface="Times New Roman" panose="02020603050405020304" pitchFamily="18" charset="0"/>
            </a:rPr>
            <a:t>Data Source: Waaberi Secondary School Survey </a:t>
          </a:r>
        </a:p>
        <a:p>
          <a:pPr algn="ctr"/>
          <a:r>
            <a:rPr lang="en-US">
              <a:latin typeface="Times New Roman" panose="02020603050405020304" pitchFamily="18" charset="0"/>
              <a:cs typeface="Times New Roman" panose="02020603050405020304" pitchFamily="18" charset="0"/>
            </a:rPr>
            <a:t>(100 Students)</a:t>
          </a:r>
          <a:br>
            <a:rPr lang="en-US">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Last Updated: June 2026</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93662</xdr:colOff>
      <xdr:row>29</xdr:row>
      <xdr:rowOff>58738</xdr:rowOff>
    </xdr:from>
    <xdr:to>
      <xdr:col>8</xdr:col>
      <xdr:colOff>322262</xdr:colOff>
      <xdr:row>29</xdr:row>
      <xdr:rowOff>1675872</xdr:rowOff>
    </xdr:to>
    <xdr:graphicFrame macro="">
      <xdr:nvGraphicFramePr>
        <xdr:cNvPr id="59" name="Chart 17">
          <a:extLst>
            <a:ext uri="{FF2B5EF4-FFF2-40B4-BE49-F238E27FC236}">
              <a16:creationId xmlns:a16="http://schemas.microsoft.com/office/drawing/2014/main" id="{03B5031D-EBA7-48D7-B7DD-1E231253E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143935</xdr:colOff>
      <xdr:row>29</xdr:row>
      <xdr:rowOff>101601</xdr:rowOff>
    </xdr:from>
    <xdr:to>
      <xdr:col>19</xdr:col>
      <xdr:colOff>1126068</xdr:colOff>
      <xdr:row>29</xdr:row>
      <xdr:rowOff>1676401</xdr:rowOff>
    </xdr:to>
    <xdr:graphicFrame macro="">
      <xdr:nvGraphicFramePr>
        <xdr:cNvPr id="60" name="Chart 18">
          <a:extLst>
            <a:ext uri="{FF2B5EF4-FFF2-40B4-BE49-F238E27FC236}">
              <a16:creationId xmlns:a16="http://schemas.microsoft.com/office/drawing/2014/main" id="{25A17787-7E22-4790-959D-4AA142282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14</xdr:col>
      <xdr:colOff>29535</xdr:colOff>
      <xdr:row>2</xdr:row>
      <xdr:rowOff>81221</xdr:rowOff>
    </xdr:from>
    <xdr:to>
      <xdr:col>14</xdr:col>
      <xdr:colOff>309762</xdr:colOff>
      <xdr:row>3</xdr:row>
      <xdr:rowOff>180536</xdr:rowOff>
    </xdr:to>
    <xdr:pic>
      <xdr:nvPicPr>
        <xdr:cNvPr id="61" name="Picture 60">
          <a:extLst>
            <a:ext uri="{FF2B5EF4-FFF2-40B4-BE49-F238E27FC236}">
              <a16:creationId xmlns:a16="http://schemas.microsoft.com/office/drawing/2014/main" id="{5B48D4BB-5D48-40E1-8F3D-C3A1FEABFEC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9074593" y="450407"/>
          <a:ext cx="280227" cy="2839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2908300</xdr:colOff>
      <xdr:row>0</xdr:row>
      <xdr:rowOff>6350</xdr:rowOff>
    </xdr:from>
    <xdr:to>
      <xdr:col>2</xdr:col>
      <xdr:colOff>4086153</xdr:colOff>
      <xdr:row>1</xdr:row>
      <xdr:rowOff>142822</xdr:rowOff>
    </xdr:to>
    <xdr:grpSp>
      <xdr:nvGrpSpPr>
        <xdr:cNvPr id="2" name="Group 1">
          <a:extLst>
            <a:ext uri="{FF2B5EF4-FFF2-40B4-BE49-F238E27FC236}">
              <a16:creationId xmlns:a16="http://schemas.microsoft.com/office/drawing/2014/main" id="{A4DA7676-03F6-417B-A096-E12A50A4087F}"/>
            </a:ext>
          </a:extLst>
        </xdr:cNvPr>
        <xdr:cNvGrpSpPr/>
      </xdr:nvGrpSpPr>
      <xdr:grpSpPr>
        <a:xfrm>
          <a:off x="6057900" y="6350"/>
          <a:ext cx="1177853" cy="320622"/>
          <a:chOff x="7781138" y="20403"/>
          <a:chExt cx="1185072" cy="319310"/>
        </a:xfrm>
      </xdr:grpSpPr>
      <xdr:pic>
        <xdr:nvPicPr>
          <xdr:cNvPr id="3" name="Picture 2">
            <a:extLst>
              <a:ext uri="{FF2B5EF4-FFF2-40B4-BE49-F238E27FC236}">
                <a16:creationId xmlns:a16="http://schemas.microsoft.com/office/drawing/2014/main" id="{1E302234-EB5C-BBA9-C17F-6E732E1CA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81138" y="20403"/>
            <a:ext cx="319665" cy="319310"/>
          </a:xfrm>
          <a:prstGeom prst="rect">
            <a:avLst/>
          </a:prstGeom>
        </xdr:spPr>
      </xdr:pic>
      <xdr:sp macro="" textlink="">
        <xdr:nvSpPr>
          <xdr:cNvPr id="4" name="TextBox 3">
            <a:hlinkClick xmlns:r="http://schemas.openxmlformats.org/officeDocument/2006/relationships" r:id="rId2"/>
            <a:extLst>
              <a:ext uri="{FF2B5EF4-FFF2-40B4-BE49-F238E27FC236}">
                <a16:creationId xmlns:a16="http://schemas.microsoft.com/office/drawing/2014/main" id="{76FB8D72-A052-AF3B-349A-53A7E4584EAA}"/>
              </a:ext>
            </a:extLst>
          </xdr:cNvPr>
          <xdr:cNvSpPr txBox="1"/>
        </xdr:nvSpPr>
        <xdr:spPr>
          <a:xfrm>
            <a:off x="8039598" y="71407"/>
            <a:ext cx="926612" cy="23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Clean Data</a:t>
            </a:r>
          </a:p>
        </xdr:txBody>
      </xdr:sp>
    </xdr:grpSp>
    <xdr:clientData/>
  </xdr:twoCellAnchor>
  <xdr:twoCellAnchor>
    <xdr:from>
      <xdr:col>2</xdr:col>
      <xdr:colOff>4446030</xdr:colOff>
      <xdr:row>0</xdr:row>
      <xdr:rowOff>43467</xdr:rowOff>
    </xdr:from>
    <xdr:to>
      <xdr:col>2</xdr:col>
      <xdr:colOff>5605700</xdr:colOff>
      <xdr:row>1</xdr:row>
      <xdr:rowOff>144025</xdr:rowOff>
    </xdr:to>
    <xdr:grpSp>
      <xdr:nvGrpSpPr>
        <xdr:cNvPr id="5" name="Group 4">
          <a:hlinkClick xmlns:r="http://schemas.openxmlformats.org/officeDocument/2006/relationships" r:id="rId3"/>
          <a:extLst>
            <a:ext uri="{FF2B5EF4-FFF2-40B4-BE49-F238E27FC236}">
              <a16:creationId xmlns:a16="http://schemas.microsoft.com/office/drawing/2014/main" id="{FE9A5C7C-9D7F-4E44-8C8E-CEEAC52F40B6}"/>
            </a:ext>
          </a:extLst>
        </xdr:cNvPr>
        <xdr:cNvGrpSpPr/>
      </xdr:nvGrpSpPr>
      <xdr:grpSpPr>
        <a:xfrm>
          <a:off x="7595630" y="43467"/>
          <a:ext cx="1159670" cy="284708"/>
          <a:chOff x="11315720" y="21709"/>
          <a:chExt cx="1097520" cy="336812"/>
        </a:xfrm>
      </xdr:grpSpPr>
      <xdr:pic>
        <xdr:nvPicPr>
          <xdr:cNvPr id="6" name="Picture 5">
            <a:extLst>
              <a:ext uri="{FF2B5EF4-FFF2-40B4-BE49-F238E27FC236}">
                <a16:creationId xmlns:a16="http://schemas.microsoft.com/office/drawing/2014/main" id="{F2489C3F-E909-10FA-5E87-06C2F99735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15720" y="21709"/>
            <a:ext cx="342419" cy="336812"/>
          </a:xfrm>
          <a:prstGeom prst="rect">
            <a:avLst/>
          </a:prstGeom>
        </xdr:spPr>
      </xdr:pic>
      <xdr:sp macro="" textlink="">
        <xdr:nvSpPr>
          <xdr:cNvPr id="7" name="TextBox 6">
            <a:extLst>
              <a:ext uri="{FF2B5EF4-FFF2-40B4-BE49-F238E27FC236}">
                <a16:creationId xmlns:a16="http://schemas.microsoft.com/office/drawing/2014/main" id="{87B07D14-6084-30F5-A296-C3530F8C63BD}"/>
              </a:ext>
            </a:extLst>
          </xdr:cNvPr>
          <xdr:cNvSpPr txBox="1"/>
        </xdr:nvSpPr>
        <xdr:spPr>
          <a:xfrm>
            <a:off x="11593900" y="22530"/>
            <a:ext cx="819340" cy="29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Summarize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469900</xdr:colOff>
      <xdr:row>0</xdr:row>
      <xdr:rowOff>12700</xdr:rowOff>
    </xdr:from>
    <xdr:to>
      <xdr:col>9</xdr:col>
      <xdr:colOff>676203</xdr:colOff>
      <xdr:row>1</xdr:row>
      <xdr:rowOff>149172</xdr:rowOff>
    </xdr:to>
    <xdr:grpSp>
      <xdr:nvGrpSpPr>
        <xdr:cNvPr id="20" name="Group 19">
          <a:extLst>
            <a:ext uri="{FF2B5EF4-FFF2-40B4-BE49-F238E27FC236}">
              <a16:creationId xmlns:a16="http://schemas.microsoft.com/office/drawing/2014/main" id="{8F9EEA99-6360-45AC-9D5F-861538A51DF5}"/>
            </a:ext>
          </a:extLst>
        </xdr:cNvPr>
        <xdr:cNvGrpSpPr/>
      </xdr:nvGrpSpPr>
      <xdr:grpSpPr>
        <a:xfrm>
          <a:off x="5575300" y="12700"/>
          <a:ext cx="1177853" cy="320622"/>
          <a:chOff x="7781138" y="20403"/>
          <a:chExt cx="1185072" cy="319310"/>
        </a:xfrm>
      </xdr:grpSpPr>
      <xdr:pic>
        <xdr:nvPicPr>
          <xdr:cNvPr id="21" name="Picture 20">
            <a:extLst>
              <a:ext uri="{FF2B5EF4-FFF2-40B4-BE49-F238E27FC236}">
                <a16:creationId xmlns:a16="http://schemas.microsoft.com/office/drawing/2014/main" id="{D83B296C-166A-D3AB-67BB-AC0C927E0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81138" y="20403"/>
            <a:ext cx="319665" cy="319310"/>
          </a:xfrm>
          <a:prstGeom prst="rect">
            <a:avLst/>
          </a:prstGeom>
        </xdr:spPr>
      </xdr:pic>
      <xdr:sp macro="" textlink="">
        <xdr:nvSpPr>
          <xdr:cNvPr id="22" name="TextBox 21">
            <a:hlinkClick xmlns:r="http://schemas.openxmlformats.org/officeDocument/2006/relationships" r:id="rId2"/>
            <a:extLst>
              <a:ext uri="{FF2B5EF4-FFF2-40B4-BE49-F238E27FC236}">
                <a16:creationId xmlns:a16="http://schemas.microsoft.com/office/drawing/2014/main" id="{37DAE1B5-994C-ABEF-2787-53A67F113957}"/>
              </a:ext>
            </a:extLst>
          </xdr:cNvPr>
          <xdr:cNvSpPr txBox="1"/>
        </xdr:nvSpPr>
        <xdr:spPr>
          <a:xfrm>
            <a:off x="8039598" y="71407"/>
            <a:ext cx="926612" cy="23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Clean Data</a:t>
            </a:r>
          </a:p>
        </xdr:txBody>
      </xdr:sp>
    </xdr:grpSp>
    <xdr:clientData/>
  </xdr:twoCellAnchor>
  <xdr:twoCellAnchor>
    <xdr:from>
      <xdr:col>10</xdr:col>
      <xdr:colOff>276083</xdr:colOff>
      <xdr:row>0</xdr:row>
      <xdr:rowOff>48394</xdr:rowOff>
    </xdr:from>
    <xdr:to>
      <xdr:col>12</xdr:col>
      <xdr:colOff>318612</xdr:colOff>
      <xdr:row>1</xdr:row>
      <xdr:rowOff>158971</xdr:rowOff>
    </xdr:to>
    <xdr:grpSp>
      <xdr:nvGrpSpPr>
        <xdr:cNvPr id="23" name="Group 22">
          <a:extLst>
            <a:ext uri="{FF2B5EF4-FFF2-40B4-BE49-F238E27FC236}">
              <a16:creationId xmlns:a16="http://schemas.microsoft.com/office/drawing/2014/main" id="{0ECE923F-F539-4A25-AC0C-9CEBDFC1C5CF}"/>
            </a:ext>
          </a:extLst>
        </xdr:cNvPr>
        <xdr:cNvGrpSpPr/>
      </xdr:nvGrpSpPr>
      <xdr:grpSpPr>
        <a:xfrm>
          <a:off x="7267433" y="48394"/>
          <a:ext cx="1109329" cy="294727"/>
          <a:chOff x="9467721" y="37422"/>
          <a:chExt cx="1111819" cy="298048"/>
        </a:xfrm>
      </xdr:grpSpPr>
      <xdr:pic>
        <xdr:nvPicPr>
          <xdr:cNvPr id="24" name="Picture 23">
            <a:extLst>
              <a:ext uri="{FF2B5EF4-FFF2-40B4-BE49-F238E27FC236}">
                <a16:creationId xmlns:a16="http://schemas.microsoft.com/office/drawing/2014/main" id="{1BB2C1AC-187C-D290-C6FF-33986C05A2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67721" y="37422"/>
            <a:ext cx="367137" cy="298048"/>
          </a:xfrm>
          <a:prstGeom prst="rect">
            <a:avLst/>
          </a:prstGeom>
        </xdr:spPr>
      </xdr:pic>
      <xdr:sp macro="" textlink="">
        <xdr:nvSpPr>
          <xdr:cNvPr id="25" name="TextBox 24">
            <a:hlinkClick xmlns:r="http://schemas.openxmlformats.org/officeDocument/2006/relationships" r:id="rId4"/>
            <a:extLst>
              <a:ext uri="{FF2B5EF4-FFF2-40B4-BE49-F238E27FC236}">
                <a16:creationId xmlns:a16="http://schemas.microsoft.com/office/drawing/2014/main" id="{9FC6CB6F-DE56-0B2A-5E14-D7A228A15DE6}"/>
              </a:ext>
            </a:extLst>
          </xdr:cNvPr>
          <xdr:cNvSpPr txBox="1"/>
        </xdr:nvSpPr>
        <xdr:spPr>
          <a:xfrm>
            <a:off x="9723341" y="45817"/>
            <a:ext cx="856199" cy="213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Dictionary</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79398148" backgroundQuery="1" createdVersion="8" refreshedVersion="8" minRefreshableVersion="3" recordCount="0" supportSubquery="1" supportAdvancedDrill="1" xr:uid="{03DF8620-20D7-4A48-9276-657799370F58}">
  <cacheSource type="external" connectionId="3"/>
  <cacheFields count="3">
    <cacheField name="[Measures].[Total Students]" caption="Total Students" numFmtId="0" hierarchy="18" level="32767"/>
    <cacheField name="[Student_AI_Usage_Dataset].[Age_Group].[Age_Group]" caption="Age_Group" numFmtId="0" hierarchy="1" level="1">
      <sharedItems count="3">
        <s v="14-15"/>
        <s v="16-17"/>
        <s v="18-19"/>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fieldsUsage count="2">
        <fieldUsage x="-1"/>
        <fieldUsage x="1"/>
      </fieldsUsage>
    </cacheHierarchy>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79745371" backgroundQuery="1" createdVersion="8" refreshedVersion="8" minRefreshableVersion="3" recordCount="0" supportSubquery="1" supportAdvancedDrill="1" xr:uid="{B8A28722-083E-4F11-BFA3-8303C77947A6}">
  <cacheSource type="external" connectionId="3"/>
  <cacheFields count="3">
    <cacheField name="[Measures].[Total Students]" caption="Total Students" numFmtId="0" hierarchy="18" level="32767"/>
    <cacheField name="[Student_AI_Usage_Dataset].[education_level].[education_level]" caption="education_level" numFmtId="0" hierarchy="3" level="1">
      <sharedItems count="2">
        <s v="College"/>
        <s v="School"/>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fieldsUsage count="2">
        <fieldUsage x="-1"/>
        <fieldUsage x="1"/>
      </fieldsUsage>
    </cacheHierarchy>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0092595" backgroundQuery="1" createdVersion="8" refreshedVersion="8" minRefreshableVersion="3" recordCount="0" supportSubquery="1" supportAdvancedDrill="1" xr:uid="{0BE21988-87C7-4A2A-969F-F04A38D50BA9}">
  <cacheSource type="external" connectionId="3"/>
  <cacheFields count="3">
    <cacheField name="[Measures].[Total Students]" caption="Total Students" numFmtId="0" hierarchy="18" level="32767"/>
    <cacheField name="[Student_AI_Usage_Dataset].[uses_ai].[uses_ai]" caption="uses_ai" numFmtId="0" hierarchy="6" level="1">
      <sharedItems count="2">
        <s v="No"/>
        <s v="Yes"/>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fieldsUsage count="2">
        <fieldUsage x="-1"/>
        <fieldUsage x="1"/>
      </fieldsUsage>
    </cacheHierarchy>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0439818" backgroundQuery="1" createdVersion="8" refreshedVersion="8" minRefreshableVersion="3" recordCount="0" supportSubquery="1" supportAdvancedDrill="1" xr:uid="{03043C45-5F8C-4250-BF0A-7112EB6B5D58}">
  <cacheSource type="external" connectionId="3"/>
  <cacheFields count="3">
    <cacheField name="[Measures].[Total Students]" caption="Total Students" numFmtId="0" hierarchy="18" level="32767"/>
    <cacheField name="[Student_AI_Usage_Dataset].[ai_tools_used].[ai_tools_used]" caption="ai_tools_used" numFmtId="0" hierarchy="7" level="1">
      <sharedItems count="4">
        <s v="ChatGPT"/>
        <s v="Copilot"/>
        <s v="Gemini"/>
        <s v="None"/>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fieldsUsage count="2">
        <fieldUsage x="-1"/>
        <fieldUsage x="1"/>
      </fieldsUsage>
    </cacheHierarchy>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0787034" backgroundQuery="1" createdVersion="8" refreshedVersion="8" minRefreshableVersion="3" recordCount="0" supportSubquery="1" supportAdvancedDrill="1" xr:uid="{3DD274A7-DA91-4F00-B1D5-F05B1DE9D933}">
  <cacheSource type="external" connectionId="3"/>
  <cacheFields count="3">
    <cacheField name="[Measures].[Total Students]" caption="Total Students" numFmtId="0" hierarchy="18" level="32767"/>
    <cacheField name="[Student_AI_Usage_Dataset].[purpose_of_ai].[purpose_of_ai]" caption="purpose_of_ai" numFmtId="0" hierarchy="8" level="1">
      <sharedItems count="4">
        <s v="Coding"/>
        <s v="Homework"/>
        <s v="None"/>
        <s v="Research"/>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fieldsUsage count="2">
        <fieldUsage x="-1"/>
        <fieldUsage x="1"/>
      </fieldsUsage>
    </cacheHierarchy>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1250003" backgroundQuery="1" createdVersion="8" refreshedVersion="8" minRefreshableVersion="3" recordCount="0" supportSubquery="1" supportAdvancedDrill="1" xr:uid="{4E0B27D5-68EA-41FD-BE1F-A1B0F5DF8B65}">
  <cacheSource type="external" connectionId="3"/>
  <cacheFields count="3">
    <cacheField name="[Measures].[Total Students]" caption="Total Students" numFmtId="0" hierarchy="18" level="32767"/>
    <cacheField name="[Student_AI_Usage_Dataset].[Screen_time].[Screen_time]" caption="Screen_time" numFmtId="0" hierarchy="9" level="1">
      <sharedItems count="3">
        <s v="3hrs below"/>
        <s v="4-5hrs"/>
        <s v="6hrs above"/>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fieldsUsage count="2">
        <fieldUsage x="-1"/>
        <fieldUsage x="1"/>
      </fieldsUsage>
    </cacheHierarchy>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1597219" backgroundQuery="1" createdVersion="8" refreshedVersion="8" minRefreshableVersion="3" recordCount="0" supportSubquery="1" supportAdvancedDrill="1" xr:uid="{4D8B7D6F-A5D5-4B47-820C-B355153862E1}">
  <cacheSource type="external" connectionId="3"/>
  <cacheFields count="3">
    <cacheField name="[Measures].[Total Students]" caption="Total Students" numFmtId="0" hierarchy="18" level="32767"/>
    <cacheField name="[Student_AI_Usage_Dataset].[Study_Hours].[Study_Hours]" caption="Study_Hours" numFmtId="0" hierarchy="4" level="1">
      <sharedItems count="3">
        <s v="≤ 2 Hours"/>
        <s v="≥ 5 Hours"/>
        <s v="3–4 Hours"/>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fieldsUsage count="2">
        <fieldUsage x="-1"/>
        <fieldUsage x="1"/>
      </fieldsUsage>
    </cacheHierarchy>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1944442" backgroundQuery="1" createdVersion="8" refreshedVersion="8" minRefreshableVersion="3" recordCount="0" supportSubquery="1" supportAdvancedDrill="1" xr:uid="{C7E7A090-E127-4459-9051-2302A2F87AB4}">
  <cacheSource type="external" connectionId="3"/>
  <cacheFields count="3">
    <cacheField name="[Measures].[Total Students]" caption="Total Students" numFmtId="0" hierarchy="18" level="32767"/>
    <cacheField name="[Student_AI_Usage_Dataset].[Grades_before_Ai_].[Grades_before_Ai_]" caption="Grades_before_Ai_" numFmtId="0" hierarchy="13" level="1">
      <sharedItems count="3">
        <s v="50-60 Marks"/>
        <s v="61-70 Marks"/>
        <s v="71 Marks above"/>
      </sharedItems>
    </cacheField>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fieldsUsage count="2">
        <fieldUsage x="-1"/>
        <fieldUsage x="1"/>
      </fieldsUsage>
    </cacheHierarchy>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2"/>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2291666" backgroundQuery="1" createdVersion="8" refreshedVersion="8" minRefreshableVersion="3" recordCount="0" supportSubquery="1" supportAdvancedDrill="1" xr:uid="{AA6622AD-C3E8-45BD-8387-CEAB6744E3F7}">
  <cacheSource type="external" connectionId="3"/>
  <cacheFields count="2">
    <cacheField name="[Measures].[Total Students]" caption="Total Students" numFmtId="0" hierarchy="18" level="32767"/>
    <cacheField name="[Student_AI_Usage_Dataset].[Grades_After_Ai_].[Grades_After_Ai_]" caption="Grades_After_Ai_" numFmtId="0" hierarchy="14" level="1">
      <sharedItems count="3">
        <s v="50-60 Marks"/>
        <s v="61-70 Marks"/>
        <s v="71 Marks Above"/>
      </sharedItems>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252315" backgroundQuery="1" createdVersion="8" refreshedVersion="8" minRefreshableVersion="3" recordCount="0" supportSubquery="1" supportAdvancedDrill="1" xr:uid="{19B25552-D38C-4207-A55F-24974D5F5D8E}">
  <cacheSource type="external" connectionId="3"/>
  <cacheFields count="2">
    <cacheField name="[Measures].[Total Students]" caption="Total Students" numFmtId="0" hierarchy="18"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oneField="1">
      <fieldsUsage count="1">
        <fieldUsage x="0"/>
      </fieldsUsage>
    </cacheHierarchy>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252315" backgroundQuery="1" createdVersion="8" refreshedVersion="8" minRefreshableVersion="3" recordCount="0" supportSubquery="1" supportAdvancedDrill="1" xr:uid="{130A1E8B-AEBF-4EFB-A822-F4A9231ACCFE}">
  <cacheSource type="external" connectionId="3"/>
  <cacheFields count="2">
    <cacheField name="[Measures].[Avg Age]" caption="Avg Age" numFmtId="0" hierarchy="19"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oneField="1">
      <fieldsUsage count="1">
        <fieldUsage x="0"/>
      </fieldsUsage>
    </cacheHierarchy>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2638889" backgroundQuery="1" createdVersion="8" refreshedVersion="8" minRefreshableVersion="3" recordCount="0" supportSubquery="1" supportAdvancedDrill="1" xr:uid="{0A6C0CAD-4CD7-4D2A-A730-B2CAE90D3F3F}">
  <cacheSource type="external" connectionId="3"/>
  <cacheFields count="2">
    <cacheField name="[Measures].[Avg Study Hour]" caption="Avg Study Hour" numFmtId="0" hierarchy="20"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cacheHierarchy uniqueName="[Measures].[Avg Study Hour]" caption="Avg Study Hour" measure="1" displayFolder="" measureGroup="Student_AI_Usage_Dataset" count="0" oneField="1">
      <fieldsUsage count="1">
        <fieldUsage x="0"/>
      </fieldsUsage>
    </cacheHierarchy>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2870373" backgroundQuery="1" createdVersion="8" refreshedVersion="8" minRefreshableVersion="3" recordCount="0" supportSubquery="1" supportAdvancedDrill="1" xr:uid="{266907D0-076F-4C3D-AEB0-A57CB4B1E955}">
  <cacheSource type="external" connectionId="3"/>
  <cacheFields count="2">
    <cacheField name="[Measures].[Avg Screen time]" caption="Avg Screen time" numFmtId="0" hierarchy="21"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oneField="1">
      <fieldsUsage count="1">
        <fieldUsage x="0"/>
      </fieldsUsage>
    </cacheHierarchy>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2870373" backgroundQuery="1" createdVersion="8" refreshedVersion="8" minRefreshableVersion="3" recordCount="0" supportSubquery="1" supportAdvancedDrill="1" xr:uid="{1F21233F-2083-4DD4-98D1-FDFEF0594D1D}">
  <cacheSource type="external" connectionId="3"/>
  <cacheFields count="2">
    <cacheField name="[Measures].[Avg Grde bfr Ai ]" caption="Avg Grde bfr Ai " numFmtId="0" hierarchy="22"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oneField="1">
      <fieldsUsage count="1">
        <fieldUsage x="0"/>
      </fieldsUsage>
    </cacheHierarchy>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3217589" backgroundQuery="1" createdVersion="8" refreshedVersion="8" minRefreshableVersion="3" recordCount="0" supportSubquery="1" supportAdvancedDrill="1" xr:uid="{9B5AB330-97C6-466E-BEA5-4317965858BA}">
  <cacheSource type="external" connectionId="3"/>
  <cacheFields count="2">
    <cacheField name="[Measures].[Avg Grde after Ai]" caption="Avg Grde after Ai" numFmtId="0" hierarchy="23"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oneField="1">
      <fieldsUsage count="1">
        <fieldUsage x="0"/>
      </fieldsUsage>
    </cacheHierarchy>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639083217589" backgroundQuery="1" createdVersion="8" refreshedVersion="8" minRefreshableVersion="3" recordCount="0" supportSubquery="1" supportAdvancedDrill="1" xr:uid="{BC3319DC-6148-4CEB-A0B1-626D914B823A}">
  <cacheSource type="external" connectionId="3"/>
  <cacheFields count="2">
    <cacheField name="[Measures].[Avg btw Grades ]" caption="Avg btw Grades " numFmtId="0" hierarchy="24" level="32767"/>
    <cacheField name="[Student_AI_Usage_Dataset].[Grades_After_Ai_].[Grades_After_Ai_]" caption="Grades_After_Ai_" numFmtId="0" hierarchy="14" level="1">
      <sharedItems containsSemiMixedTypes="0" containsNonDate="0" containsString="0"/>
    </cacheField>
  </cacheFields>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fieldsUsage count="2">
        <fieldUsage x="-1"/>
        <fieldUsage x="1"/>
      </fieldsUsage>
    </cacheHierarchy>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oneField="1">
      <fieldsUsage count="1">
        <fieldUsage x="0"/>
      </fieldsUsage>
    </cacheHierarchy>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dimensions count="2">
    <dimension measure="1" name="Measures" uniqueName="[Measures]" caption="Measures"/>
    <dimension name="Student_AI_Usage_Dataset" uniqueName="[Student_AI_Usage_Dataset]" caption="Student_AI_Usage_Dataset"/>
  </dimensions>
  <measureGroups count="1">
    <measureGroup name="Student_AI_Usage_Dataset" caption="Student_AI_Usag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98.57453229167" backgroundQuery="1" createdVersion="3" refreshedVersion="8" minRefreshableVersion="3" recordCount="0" supportSubquery="1" supportAdvancedDrill="1" xr:uid="{BF0B0D5A-B577-4322-9F88-50C8C3B6F91D}">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Student_AI_Usage_Dataset].[Std_ID]" caption="Std_ID" attribute="1" defaultMemberUniqueName="[Student_AI_Usage_Dataset].[Std_ID].[All]" allUniqueName="[Student_AI_Usage_Dataset].[Std_ID].[All]" dimensionUniqueName="[Student_AI_Usage_Dataset]" displayFolder="" count="0" memberValueDatatype="20" unbalanced="0"/>
    <cacheHierarchy uniqueName="[Student_AI_Usage_Dataset].[Age_Group]" caption="Age_Group" attribute="1" defaultMemberUniqueName="[Student_AI_Usage_Dataset].[Age_Group].[All]" allUniqueName="[Student_AI_Usage_Dataset].[Age_Group].[All]" dimensionUniqueName="[Student_AI_Usage_Dataset]" displayFolder="" count="2" memberValueDatatype="130" unbalanced="0"/>
    <cacheHierarchy uniqueName="[Student_AI_Usage_Dataset].[age]" caption="age" attribute="1" defaultMemberUniqueName="[Student_AI_Usage_Dataset].[age].[All]" allUniqueName="[Student_AI_Usage_Dataset].[age].[All]" dimensionUniqueName="[Student_AI_Usage_Dataset]" displayFolder="" count="0" memberValueDatatype="20" unbalanced="0"/>
    <cacheHierarchy uniqueName="[Student_AI_Usage_Dataset].[education_level]" caption="education_level" attribute="1" defaultMemberUniqueName="[Student_AI_Usage_Dataset].[education_level].[All]" allUniqueName="[Student_AI_Usage_Dataset].[education_level].[All]" dimensionUniqueName="[Student_AI_Usage_Dataset]" displayFolder="" count="2" memberValueDatatype="130" unbalanced="0"/>
    <cacheHierarchy uniqueName="[Student_AI_Usage_Dataset].[Study_Hours]" caption="Study_Hours" attribute="1" defaultMemberUniqueName="[Student_AI_Usage_Dataset].[Study_Hours].[All]" allUniqueName="[Student_AI_Usage_Dataset].[Study_Hours].[All]" dimensionUniqueName="[Student_AI_Usage_Dataset]" displayFolder="" count="2" memberValueDatatype="130" unbalanced="0"/>
    <cacheHierarchy uniqueName="[Student_AI_Usage_Dataset].[study_hours_per_day]" caption="study_hours_per_day" attribute="1" defaultMemberUniqueName="[Student_AI_Usage_Dataset].[study_hours_per_day].[All]" allUniqueName="[Student_AI_Usage_Dataset].[study_hours_per_day].[All]" dimensionUniqueName="[Student_AI_Usage_Dataset]" displayFolder="" count="0" memberValueDatatype="5" unbalanced="0"/>
    <cacheHierarchy uniqueName="[Student_AI_Usage_Dataset].[uses_ai]" caption="uses_ai" attribute="1" defaultMemberUniqueName="[Student_AI_Usage_Dataset].[uses_ai].[All]" allUniqueName="[Student_AI_Usage_Dataset].[uses_ai].[All]" dimensionUniqueName="[Student_AI_Usage_Dataset]" displayFolder="" count="2" memberValueDatatype="130" unbalanced="0"/>
    <cacheHierarchy uniqueName="[Student_AI_Usage_Dataset].[ai_tools_used]" caption="ai_tools_used" attribute="1" defaultMemberUniqueName="[Student_AI_Usage_Dataset].[ai_tools_used].[All]" allUniqueName="[Student_AI_Usage_Dataset].[ai_tools_used].[All]" dimensionUniqueName="[Student_AI_Usage_Dataset]" displayFolder="" count="2" memberValueDatatype="130" unbalanced="0"/>
    <cacheHierarchy uniqueName="[Student_AI_Usage_Dataset].[purpose_of_ai]" caption="purpose_of_ai" attribute="1" defaultMemberUniqueName="[Student_AI_Usage_Dataset].[purpose_of_ai].[All]" allUniqueName="[Student_AI_Usage_Dataset].[purpose_of_ai].[All]" dimensionUniqueName="[Student_AI_Usage_Dataset]" displayFolder="" count="2" memberValueDatatype="130" unbalanced="0"/>
    <cacheHierarchy uniqueName="[Student_AI_Usage_Dataset].[Screen_time]" caption="Screen_time" attribute="1" defaultMemberUniqueName="[Student_AI_Usage_Dataset].[Screen_time].[All]" allUniqueName="[Student_AI_Usage_Dataset].[Screen_time].[All]" dimensionUniqueName="[Student_AI_Usage_Dataset]" displayFolder="" count="2" memberValueDatatype="130" unbalanced="0"/>
    <cacheHierarchy uniqueName="[Student_AI_Usage_Dataset].[grades_before_ai]" caption="grades_before_ai" attribute="1" defaultMemberUniqueName="[Student_AI_Usage_Dataset].[grades_before_ai].[All]" allUniqueName="[Student_AI_Usage_Dataset].[grades_before_ai].[All]" dimensionUniqueName="[Student_AI_Usage_Dataset]" displayFolder="" count="0" memberValueDatatype="20" unbalanced="0"/>
    <cacheHierarchy uniqueName="[Student_AI_Usage_Dataset].[grades_after_ai]" caption="grades_after_ai" attribute="1" defaultMemberUniqueName="[Student_AI_Usage_Dataset].[grades_after_ai].[All]" allUniqueName="[Student_AI_Usage_Dataset].[grades_after_ai].[All]" dimensionUniqueName="[Student_AI_Usage_Dataset]" displayFolder="" count="0" memberValueDatatype="20" unbalanced="0"/>
    <cacheHierarchy uniqueName="[Student_AI_Usage_Dataset].[daily_screen_time_hours]" caption="daily_screen_time_hours" attribute="1" defaultMemberUniqueName="[Student_AI_Usage_Dataset].[daily_screen_time_hours].[All]" allUniqueName="[Student_AI_Usage_Dataset].[daily_screen_time_hours].[All]" dimensionUniqueName="[Student_AI_Usage_Dataset]" displayFolder="" count="0" memberValueDatatype="20" unbalanced="0"/>
    <cacheHierarchy uniqueName="[Student_AI_Usage_Dataset].[Grades_before_Ai_]" caption="Grades_before_Ai_" attribute="1" defaultMemberUniqueName="[Student_AI_Usage_Dataset].[Grades_before_Ai_].[All]" allUniqueName="[Student_AI_Usage_Dataset].[Grades_before_Ai_].[All]" dimensionUniqueName="[Student_AI_Usage_Dataset]" displayFolder="" count="2" memberValueDatatype="130" unbalanced="0"/>
    <cacheHierarchy uniqueName="[Student_AI_Usage_Dataset].[Grades_After_Ai_]" caption="Grades_After_Ai_" attribute="1" defaultMemberUniqueName="[Student_AI_Usage_Dataset].[Grades_After_Ai_].[All]" allUniqueName="[Student_AI_Usage_Dataset].[Grades_After_Ai_].[All]" dimensionUniqueName="[Student_AI_Usage_Dataset]" displayFolder="" count="2" memberValueDatatype="130" unbalanced="0"/>
    <cacheHierarchy uniqueName="[Measures].[Sum of Std_ID]" caption="Sum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Count of Std_ID]" caption="Count of Std_ID" measure="1" displayFolder="" measureGroup="Student_AI_Usage_Dataset" count="0">
      <extLst>
        <ext xmlns:x15="http://schemas.microsoft.com/office/spreadsheetml/2010/11/main" uri="{B97F6D7D-B522-45F9-BDA1-12C45D357490}">
          <x15:cacheHierarchy aggregatedColumn="0"/>
        </ext>
      </extLst>
    </cacheHierarchy>
    <cacheHierarchy uniqueName="[Measures].[Sum of grades_before_ai]" caption="Sum of grades_before_ai" measure="1" displayFolder="" measureGroup="Student_AI_Usage_Dataset" count="0">
      <extLst>
        <ext xmlns:x15="http://schemas.microsoft.com/office/spreadsheetml/2010/11/main" uri="{B97F6D7D-B522-45F9-BDA1-12C45D357490}">
          <x15:cacheHierarchy aggregatedColumn="10"/>
        </ext>
      </extLst>
    </cacheHierarchy>
    <cacheHierarchy uniqueName="[Measures].[Total Students]" caption="Total Students" measure="1" displayFolder="" measureGroup="Student_AI_Usage_Dataset" count="0"/>
    <cacheHierarchy uniqueName="[Measures].[Avg Age]" caption="Avg Age" measure="1" displayFolder="" measureGroup="Student_AI_Usage_Dataset" count="0"/>
    <cacheHierarchy uniqueName="[Measures].[Avg Study Hour]" caption="Avg Study Hour" measure="1" displayFolder="" measureGroup="Student_AI_Usage_Dataset" count="0"/>
    <cacheHierarchy uniqueName="[Measures].[Avg Screen time]" caption="Avg Screen time" measure="1" displayFolder="" measureGroup="Student_AI_Usage_Dataset" count="0"/>
    <cacheHierarchy uniqueName="[Measures].[Avg Grde bfr Ai ]" caption="Avg Grde bfr Ai " measure="1" displayFolder="" measureGroup="Student_AI_Usage_Dataset" count="0"/>
    <cacheHierarchy uniqueName="[Measures].[Avg Grde after Ai]" caption="Avg Grde after Ai" measure="1" displayFolder="" measureGroup="Student_AI_Usage_Dataset" count="0"/>
    <cacheHierarchy uniqueName="[Measures].[Avg btw Grades ]" caption="Avg btw Grades " measure="1" displayFolder="" measureGroup="Student_AI_Usage_Dataset" count="0"/>
    <cacheHierarchy uniqueName="[Measures].[__XL_Count Student_AI_Usage_Dataset]" caption="__XL_Count Student_AI_Usage_Dataset" measure="1" displayFolder="" measureGroup="Student_AI_Usage_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88346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BD9738-00F6-46A6-AE35-6C17E5D20562}" name="PivotTable17" cacheId="14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rade After AI">
  <location ref="A22:B2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formats count="7">
    <format dxfId="541">
      <pivotArea type="all" dataOnly="0" outline="0" fieldPosition="0"/>
    </format>
    <format dxfId="542">
      <pivotArea outline="0" collapsedLevelsAreSubtotals="1" fieldPosition="0"/>
    </format>
    <format dxfId="543">
      <pivotArea dataOnly="0" labelOnly="1" outline="0" axis="axisValues" fieldPosition="0"/>
    </format>
    <format dxfId="544">
      <pivotArea type="all" dataOnly="0" outline="0" fieldPosition="0"/>
    </format>
    <format dxfId="545">
      <pivotArea outline="0" collapsedLevelsAreSubtotals="1" fieldPosition="0"/>
    </format>
    <format dxfId="546">
      <pivotArea dataOnly="0" labelOnly="1" grandRow="1" outline="0" fieldPosition="0"/>
    </format>
    <format dxfId="547">
      <pivotArea dataOnly="0" labelOnly="1" outline="0" axis="axisValues" fieldPosition="0"/>
    </format>
  </formats>
  <chartFormats count="3">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1" count="1" selected="0">
            <x v="1"/>
          </reference>
        </references>
      </pivotArea>
    </chartFormat>
    <chartFormat chart="7" format="23">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C989E6-75E6-40D3-9D2C-281BC60842A0}" name="PivotTable16" cacheId="1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rade Before AI">
  <location ref="M15:N19" firstHeaderRow="1" firstDataRow="1" firstDataCol="1"/>
  <pivotFields count="3">
    <pivotField dataField="1" subtotalTop="0" showAll="0" defaultSubtotal="0"/>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fld="0" subtotal="count" baseField="0" baseItem="0"/>
  </dataFields>
  <formats count="7">
    <format dxfId="548">
      <pivotArea type="all" dataOnly="0" outline="0" fieldPosition="0"/>
    </format>
    <format dxfId="549">
      <pivotArea outline="0" collapsedLevelsAreSubtotals="1" fieldPosition="0"/>
    </format>
    <format dxfId="550">
      <pivotArea dataOnly="0" labelOnly="1" outline="0" axis="axisValues" fieldPosition="0"/>
    </format>
    <format dxfId="551">
      <pivotArea type="all" dataOnly="0" outline="0" fieldPosition="0"/>
    </format>
    <format dxfId="552">
      <pivotArea outline="0" collapsedLevelsAreSubtotals="1" fieldPosition="0"/>
    </format>
    <format dxfId="553">
      <pivotArea dataOnly="0" labelOnly="1" grandRow="1" outline="0" fieldPosition="0"/>
    </format>
    <format dxfId="554">
      <pivotArea dataOnly="0" labelOnly="1" outline="0" axis="axisValues" fieldPosition="0"/>
    </format>
  </formats>
  <chartFormats count="3">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1" count="1" selected="0">
            <x v="2"/>
          </reference>
        </references>
      </pivotArea>
    </chartFormat>
    <chartFormat chart="8" format="23">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293D73-FF3A-40FA-9072-5B7F212C7C71}" name="PivotTable15" cacheId="14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udy Hour">
  <location ref="I14:J18" firstHeaderRow="1" firstDataRow="1" firstDataCol="1"/>
  <pivotFields count="3">
    <pivotField dataField="1" subtotalTop="0" showAll="0" defaultSubtotal="0"/>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7">
    <format dxfId="555">
      <pivotArea type="all" dataOnly="0" outline="0" fieldPosition="0"/>
    </format>
    <format dxfId="556">
      <pivotArea outline="0" collapsedLevelsAreSubtotals="1" fieldPosition="0"/>
    </format>
    <format dxfId="557">
      <pivotArea dataOnly="0" labelOnly="1" outline="0" axis="axisValues" fieldPosition="0"/>
    </format>
    <format dxfId="558">
      <pivotArea type="all" dataOnly="0" outline="0" fieldPosition="0"/>
    </format>
    <format dxfId="559">
      <pivotArea outline="0" collapsedLevelsAreSubtotals="1" fieldPosition="0"/>
    </format>
    <format dxfId="560">
      <pivotArea dataOnly="0" labelOnly="1" grandRow="1" outline="0" fieldPosition="0"/>
    </format>
    <format dxfId="561">
      <pivotArea dataOnly="0" labelOnly="1" outline="0" axis="axisValues" fieldPosition="0"/>
    </format>
  </format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1048832"/>
          </reference>
        </references>
      </pivotArea>
    </chartFormat>
    <chartFormat chart="2" format="5">
      <pivotArea type="data" outline="0" fieldPosition="0">
        <references count="2">
          <reference field="4294967294" count="1" selected="0">
            <x v="0"/>
          </reference>
          <reference field="1" count="1" selected="0">
            <x v="1048832"/>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C2B49E-D64D-41D5-A346-B89C126126DA}" name="PivotTable14" cacheId="1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reen Time">
  <location ref="E14:F1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7">
    <format dxfId="562">
      <pivotArea type="all" dataOnly="0" outline="0" fieldPosition="0"/>
    </format>
    <format dxfId="563">
      <pivotArea outline="0" collapsedLevelsAreSubtotals="1" fieldPosition="0"/>
    </format>
    <format dxfId="564">
      <pivotArea dataOnly="0" labelOnly="1" outline="0" axis="axisValues" fieldPosition="0"/>
    </format>
    <format dxfId="565">
      <pivotArea type="all" dataOnly="0" outline="0" fieldPosition="0"/>
    </format>
    <format dxfId="566">
      <pivotArea outline="0" collapsedLevelsAreSubtotals="1" fieldPosition="0"/>
    </format>
    <format dxfId="567">
      <pivotArea dataOnly="0" labelOnly="1" grandRow="1" outline="0" fieldPosition="0"/>
    </format>
    <format dxfId="568">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A051DF-4F21-40E5-BF01-5F1EA37D5C91}" name="PivotTable13" cacheId="1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urpose AI">
  <location ref="A14:B1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formats count="7">
    <format dxfId="569">
      <pivotArea type="all" dataOnly="0" outline="0" fieldPosition="0"/>
    </format>
    <format dxfId="570">
      <pivotArea outline="0" collapsedLevelsAreSubtotals="1" fieldPosition="0"/>
    </format>
    <format dxfId="571">
      <pivotArea dataOnly="0" labelOnly="1" outline="0" axis="axisValues" fieldPosition="0"/>
    </format>
    <format dxfId="572">
      <pivotArea type="all" dataOnly="0" outline="0" fieldPosition="0"/>
    </format>
    <format dxfId="573">
      <pivotArea outline="0" collapsedLevelsAreSubtotals="1" fieldPosition="0"/>
    </format>
    <format dxfId="574">
      <pivotArea dataOnly="0" labelOnly="1" grandRow="1" outline="0" fieldPosition="0"/>
    </format>
    <format dxfId="575">
      <pivotArea dataOnly="0" labelOnly="1" outline="0" axis="axisValues" fieldPosition="0"/>
    </format>
  </format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F021E-A64F-4A84-973F-2696F132E738}" name="PivotTable12" cacheId="1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I Tools">
  <location ref="M7:N12" firstHeaderRow="1" firstDataRow="1" firstDataCol="1"/>
  <pivotFields count="3">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i>
    <i>
      <x v="2"/>
    </i>
    <i t="grand">
      <x/>
    </i>
  </rowItems>
  <colItems count="1">
    <i/>
  </colItems>
  <dataFields count="1">
    <dataField fld="0" subtotal="count" baseField="0" baseItem="0"/>
  </dataFields>
  <formats count="7">
    <format dxfId="576">
      <pivotArea type="all" dataOnly="0" outline="0" fieldPosition="0"/>
    </format>
    <format dxfId="577">
      <pivotArea outline="0" collapsedLevelsAreSubtotals="1" fieldPosition="0"/>
    </format>
    <format dxfId="578">
      <pivotArea dataOnly="0" labelOnly="1" outline="0" axis="axisValues" fieldPosition="0"/>
    </format>
    <format dxfId="579">
      <pivotArea type="all" dataOnly="0" outline="0" fieldPosition="0"/>
    </format>
    <format dxfId="580">
      <pivotArea outline="0" collapsedLevelsAreSubtotals="1" fieldPosition="0"/>
    </format>
    <format dxfId="581">
      <pivotArea dataOnly="0" labelOnly="1" grandRow="1" outline="0" fieldPosition="0"/>
    </format>
    <format dxfId="582">
      <pivotArea dataOnly="0" labelOnly="1" outline="0" axis="axisValues" fieldPosition="0"/>
    </format>
  </format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 chart="5" format="7">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FF08B6-452E-475E-9599-C8DB2A3B4BFB}" name="PivotTable11" cacheId="1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Uses AI">
  <location ref="I7:J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7">
    <format dxfId="583">
      <pivotArea type="all" dataOnly="0" outline="0" fieldPosition="0"/>
    </format>
    <format dxfId="584">
      <pivotArea outline="0" collapsedLevelsAreSubtotals="1" fieldPosition="0"/>
    </format>
    <format dxfId="585">
      <pivotArea dataOnly="0" labelOnly="1" outline="0" axis="axisValues" fieldPosition="0"/>
    </format>
    <format dxfId="586">
      <pivotArea type="all" dataOnly="0" outline="0" fieldPosition="0"/>
    </format>
    <format dxfId="587">
      <pivotArea outline="0" collapsedLevelsAreSubtotals="1" fieldPosition="0"/>
    </format>
    <format dxfId="588">
      <pivotArea dataOnly="0" labelOnly="1" grandRow="1" outline="0" fieldPosition="0"/>
    </format>
    <format dxfId="589">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A6FE3-2F0B-4A5E-8B9A-FFD1A8EF1B59}" name="PivotTable10" cacheId="14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ducation levl">
  <location ref="E7:F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7">
    <format dxfId="590">
      <pivotArea type="all" dataOnly="0" outline="0" fieldPosition="0"/>
    </format>
    <format dxfId="591">
      <pivotArea outline="0" collapsedLevelsAreSubtotals="1" fieldPosition="0"/>
    </format>
    <format dxfId="592">
      <pivotArea dataOnly="0" labelOnly="1" outline="0" axis="axisValues" fieldPosition="0"/>
    </format>
    <format dxfId="593">
      <pivotArea type="all" dataOnly="0" outline="0" fieldPosition="0"/>
    </format>
    <format dxfId="594">
      <pivotArea outline="0" collapsedLevelsAreSubtotals="1" fieldPosition="0"/>
    </format>
    <format dxfId="595">
      <pivotArea dataOnly="0" labelOnly="1" grandRow="1" outline="0" fieldPosition="0"/>
    </format>
    <format dxfId="596">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C7F144-854E-490D-B6E1-0491D159031C}" name="PivotTable9" cacheId="14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A7:B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9">
    <format dxfId="603">
      <pivotArea type="all" dataOnly="0" outline="0" fieldPosition="0"/>
    </format>
    <format dxfId="604">
      <pivotArea outline="0" collapsedLevelsAreSubtotals="1" fieldPosition="0"/>
    </format>
    <format dxfId="605">
      <pivotArea dataOnly="0" labelOnly="1" outline="0" axis="axisValues" fieldPosition="0"/>
    </format>
    <format dxfId="602">
      <pivotArea type="all" dataOnly="0" outline="0" fieldPosition="0"/>
    </format>
    <format dxfId="601">
      <pivotArea outline="0" collapsedLevelsAreSubtotals="1" fieldPosition="0"/>
    </format>
    <format dxfId="600">
      <pivotArea field="1" type="button" dataOnly="0" labelOnly="1" outline="0" axis="axisRow" fieldPosition="0"/>
    </format>
    <format dxfId="599">
      <pivotArea dataOnly="0" labelOnly="1" fieldPosition="0">
        <references count="1">
          <reference field="1" count="0"/>
        </references>
      </pivotArea>
    </format>
    <format dxfId="598">
      <pivotArea dataOnly="0" labelOnly="1" grandRow="1" outline="0" fieldPosition="0"/>
    </format>
    <format dxfId="597">
      <pivotArea dataOnly="0" labelOnly="1" outline="0" axis="axisValues" fieldPosition="0"/>
    </format>
  </formats>
  <chartFormats count="4">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 chart="12" format="7">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58079B-42B7-4B5D-B0A1-CAFC6D48500A}" name="PivotTable8" cacheId="1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47">
      <pivotArea type="all" dataOnly="0" outline="0" fieldPosition="0"/>
    </format>
    <format dxfId="646">
      <pivotArea outline="0" collapsedLevelsAreSubtotals="1" fieldPosition="0"/>
    </format>
    <format dxfId="645">
      <pivotArea dataOnly="0" labelOnly="1" outline="0" axis="axisValues" fieldPosition="0"/>
    </format>
    <format dxfId="626">
      <pivotArea type="all" dataOnly="0" outline="0" fieldPosition="0"/>
    </format>
    <format dxfId="625">
      <pivotArea outline="0" collapsedLevelsAreSubtotals="1" fieldPosition="0"/>
    </format>
    <format dxfId="624">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DC02E3-CDE8-479B-B29A-89A13BB18DDF}" name="PivotTable7" cacheId="14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44">
      <pivotArea type="all" dataOnly="0" outline="0" fieldPosition="0"/>
    </format>
    <format dxfId="643">
      <pivotArea outline="0" collapsedLevelsAreSubtotals="1" fieldPosition="0"/>
    </format>
    <format dxfId="642">
      <pivotArea dataOnly="0" labelOnly="1" outline="0" axis="axisValues" fieldPosition="0"/>
    </format>
    <format dxfId="623">
      <pivotArea type="all" dataOnly="0" outline="0" fieldPosition="0"/>
    </format>
    <format dxfId="622">
      <pivotArea outline="0" collapsedLevelsAreSubtotals="1" fieldPosition="0"/>
    </format>
    <format dxfId="621">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4BD91C-C8C5-4D14-A5E9-BFB8C2FE0AFB}" name="PivotTable6" cacheId="14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41">
      <pivotArea type="all" dataOnly="0" outline="0" fieldPosition="0"/>
    </format>
    <format dxfId="640">
      <pivotArea outline="0" collapsedLevelsAreSubtotals="1" fieldPosition="0"/>
    </format>
    <format dxfId="639">
      <pivotArea dataOnly="0" labelOnly="1" outline="0" axis="axisValues" fieldPosition="0"/>
    </format>
    <format dxfId="620">
      <pivotArea type="all" dataOnly="0" outline="0" fieldPosition="0"/>
    </format>
    <format dxfId="619">
      <pivotArea outline="0" collapsedLevelsAreSubtotals="1" fieldPosition="0"/>
    </format>
    <format dxfId="618">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C16712-5D1B-413D-BA2C-8C932948495F}" name="PivotTable5" cacheId="14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38">
      <pivotArea type="all" dataOnly="0" outline="0" fieldPosition="0"/>
    </format>
    <format dxfId="637">
      <pivotArea outline="0" collapsedLevelsAreSubtotals="1" fieldPosition="0"/>
    </format>
    <format dxfId="636">
      <pivotArea dataOnly="0" labelOnly="1" outline="0" axis="axisValues" fieldPosition="0"/>
    </format>
    <format dxfId="617">
      <pivotArea type="all" dataOnly="0" outline="0" fieldPosition="0"/>
    </format>
    <format dxfId="616">
      <pivotArea outline="0" collapsedLevelsAreSubtotals="1" fieldPosition="0"/>
    </format>
    <format dxfId="615">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EFD941-F22C-42CB-83AB-E6AA0FFDCC7A}" name="PivotTable4" cacheId="1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35">
      <pivotArea type="all" dataOnly="0" outline="0" fieldPosition="0"/>
    </format>
    <format dxfId="634">
      <pivotArea outline="0" collapsedLevelsAreSubtotals="1" fieldPosition="0"/>
    </format>
    <format dxfId="633">
      <pivotArea dataOnly="0" labelOnly="1" outline="0" axis="axisValues" fieldPosition="0"/>
    </format>
    <format dxfId="614">
      <pivotArea type="all" dataOnly="0" outline="0" fieldPosition="0"/>
    </format>
    <format dxfId="613">
      <pivotArea outline="0" collapsedLevelsAreSubtotals="1" fieldPosition="0"/>
    </format>
    <format dxfId="612">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564557-7063-4242-9A80-29C785B30A20}" name="PivotTable3" cacheId="14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32">
      <pivotArea type="all" dataOnly="0" outline="0" fieldPosition="0"/>
    </format>
    <format dxfId="631">
      <pivotArea outline="0" collapsedLevelsAreSubtotals="1" fieldPosition="0"/>
    </format>
    <format dxfId="630">
      <pivotArea dataOnly="0" labelOnly="1" outline="0" axis="axisValues" fieldPosition="0"/>
    </format>
    <format dxfId="611">
      <pivotArea type="all" dataOnly="0" outline="0" fieldPosition="0"/>
    </format>
    <format dxfId="610">
      <pivotArea outline="0" collapsedLevelsAreSubtotals="1" fieldPosition="0"/>
    </format>
    <format dxfId="609">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79EA5E0-D1FA-4734-B990-7754C4E40EB7}" name="PivotTable2" cacheId="14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629">
      <pivotArea type="all" dataOnly="0" outline="0" fieldPosition="0"/>
    </format>
    <format dxfId="628">
      <pivotArea outline="0" collapsedLevelsAreSubtotals="1" fieldPosition="0"/>
    </format>
    <format dxfId="627">
      <pivotArea dataOnly="0" labelOnly="1" outline="0" axis="axisValues" fieldPosition="0"/>
    </format>
    <format dxfId="608">
      <pivotArea type="all" dataOnly="0" outline="0" fieldPosition="0"/>
    </format>
    <format dxfId="607">
      <pivotArea outline="0" collapsedLevelsAreSubtotals="1" fieldPosition="0"/>
    </format>
    <format dxfId="606">
      <pivotArea dataOnly="0" labelOnly="1" outline="0" axis="axisValues" fieldPosition="0"/>
    </format>
  </formats>
  <pivotHierarchies count="27">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caption="Count of Stude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AI_Usage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F9A2CEF-B629-45CD-B942-EE911828CDC6}" autoFormatId="16" applyNumberFormats="0" applyBorderFormats="0" applyFontFormats="0" applyPatternFormats="0" applyAlignmentFormats="0" applyWidthHeightFormats="0">
  <queryTableRefresh nextId="19">
    <queryTableFields count="15">
      <queryTableField id="1" name="Std_ID" tableColumnId="1"/>
      <queryTableField id="11" name="Age_Group" tableColumnId="11"/>
      <queryTableField id="2" name="age" tableColumnId="2"/>
      <queryTableField id="3" name="education_level" tableColumnId="3"/>
      <queryTableField id="12" name="Study_Hours" tableColumnId="12"/>
      <queryTableField id="4" name="study_hours_per_day" tableColumnId="4"/>
      <queryTableField id="5" name="uses_ai" tableColumnId="5"/>
      <queryTableField id="6" name="ai_tools_used" tableColumnId="6"/>
      <queryTableField id="7" name="purpose_of_ai" tableColumnId="7"/>
      <queryTableField id="13" name="Screen_time" tableColumnId="13"/>
      <queryTableField id="8" name="grades_before_ai" tableColumnId="8"/>
      <queryTableField id="9" name="grades_after_ai" tableColumnId="9"/>
      <queryTableField id="10" name="daily_screen_time_hours" tableColumnId="10"/>
      <queryTableField id="14" name="Grades_before_Ai_" tableColumnId="14"/>
      <queryTableField id="15" name="Grades_After_Ai_" tableColumnId="15"/>
    </queryTableFields>
  </queryTableRefresh>
  <extLst>
    <ext xmlns:x15="http://schemas.microsoft.com/office/spreadsheetml/2010/11/main" uri="{883FBD77-0823-4a55-B5E3-86C4891E6966}">
      <x15:queryTable sourceDataName="Query - Student_AI_Usage_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F736912-A29F-47AA-9FEE-149932647026}" sourceName="[Student_AI_Usage_Dataset].[Age_Group]">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Age_Group].[(All)]" sourceCaption="(All)" count="0"/>
        <level uniqueName="[Student_AI_Usage_Dataset].[Age_Group].[Age_Group]" sourceCaption="Age_Group" count="3">
          <ranges>
            <range startItem="0">
              <i n="[Student_AI_Usage_Dataset].[Age_Group].&amp;[14-15]" c="14-15"/>
              <i n="[Student_AI_Usage_Dataset].[Age_Group].&amp;[16-17]" c="16-17"/>
              <i n="[Student_AI_Usage_Dataset].[Age_Group].&amp;[18-19]" c="18-19"/>
            </range>
          </ranges>
        </level>
      </levels>
      <selections count="1">
        <selection n="[Student_AI_Usage_Dataset].[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1C481D3E-0A8D-4653-A613-AAFAC951F0FE}" sourceName="[Student_AI_Usage_Dataset].[education_level]">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education_level].[(All)]" sourceCaption="(All)" count="0"/>
        <level uniqueName="[Student_AI_Usage_Dataset].[education_level].[education_level]" sourceCaption="education_level" count="2">
          <ranges>
            <range startItem="0">
              <i n="[Student_AI_Usage_Dataset].[education_level].&amp;[College]" c="College"/>
              <i n="[Student_AI_Usage_Dataset].[education_level].&amp;[School]" c="School"/>
            </range>
          </ranges>
        </level>
      </levels>
      <selections count="1">
        <selection n="[Student_AI_Usage_Dataset].[education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s_ai" xr10:uid="{15B4F585-4059-468A-874D-B2B252082387}" sourceName="[Student_AI_Usage_Dataset].[uses_ai]">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uses_ai].[(All)]" sourceCaption="(All)" count="0"/>
        <level uniqueName="[Student_AI_Usage_Dataset].[uses_ai].[uses_ai]" sourceCaption="uses_ai" count="2">
          <ranges>
            <range startItem="0">
              <i n="[Student_AI_Usage_Dataset].[uses_ai].&amp;[No]" c="No"/>
              <i n="[Student_AI_Usage_Dataset].[uses_ai].&amp;[Yes]" c="Yes"/>
            </range>
          </ranges>
        </level>
      </levels>
      <selections count="1">
        <selection n="[Student_AI_Usage_Dataset].[uses_a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s_used" xr10:uid="{1D232883-F86D-4A96-A8EA-A9DA1FE93BA2}" sourceName="[Student_AI_Usage_Dataset].[ai_tools_used]">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ai_tools_used].[(All)]" sourceCaption="(All)" count="0"/>
        <level uniqueName="[Student_AI_Usage_Dataset].[ai_tools_used].[ai_tools_used]" sourceCaption="ai_tools_used" count="4">
          <ranges>
            <range startItem="0">
              <i n="[Student_AI_Usage_Dataset].[ai_tools_used].&amp;[ChatGPT]" c="ChatGPT"/>
              <i n="[Student_AI_Usage_Dataset].[ai_tools_used].&amp;[Copilot]" c="Copilot"/>
              <i n="[Student_AI_Usage_Dataset].[ai_tools_used].&amp;[Gemini]" c="Gemini"/>
              <i n="[Student_AI_Usage_Dataset].[ai_tools_used].&amp;[None]" c="None"/>
            </range>
          </ranges>
        </level>
      </levels>
      <selections count="1">
        <selection n="[Student_AI_Usage_Dataset].[ai_tools_use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of_ai" xr10:uid="{9E1C254A-C508-45A1-A700-C570E112A972}" sourceName="[Student_AI_Usage_Dataset].[purpose_of_ai]">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purpose_of_ai].[(All)]" sourceCaption="(All)" count="0"/>
        <level uniqueName="[Student_AI_Usage_Dataset].[purpose_of_ai].[purpose_of_ai]" sourceCaption="purpose_of_ai" count="4">
          <ranges>
            <range startItem="0">
              <i n="[Student_AI_Usage_Dataset].[purpose_of_ai].&amp;[Coding]" c="Coding"/>
              <i n="[Student_AI_Usage_Dataset].[purpose_of_ai].&amp;[Homework]" c="Homework"/>
              <i n="[Student_AI_Usage_Dataset].[purpose_of_ai].&amp;[None]" c="None"/>
              <i n="[Student_AI_Usage_Dataset].[purpose_of_ai].&amp;[Research]" c="Research"/>
            </range>
          </ranges>
        </level>
      </levels>
      <selections count="1">
        <selection n="[Student_AI_Usage_Dataset].[purpose_of_ai].[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ours" xr10:uid="{AB23BB65-E52F-49ED-8AD7-C08753770DCE}" sourceName="[Student_AI_Usage_Dataset].[Study_Hours]">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Study_Hours].[(All)]" sourceCaption="(All)" count="0"/>
        <level uniqueName="[Student_AI_Usage_Dataset].[Study_Hours].[Study_Hours]" sourceCaption="Study_Hours" count="3">
          <ranges>
            <range startItem="0">
              <i n="[Student_AI_Usage_Dataset].[Study_Hours].&amp;[≤ 2 Hours]" c="≤ 2 Hours"/>
              <i n="[Student_AI_Usage_Dataset].[Study_Hours].&amp;[≥ 5 Hours]" c="≥ 5 Hours"/>
              <i n="[Student_AI_Usage_Dataset].[Study_Hours].&amp;[3–4 Hours]" c="3–4 Hours"/>
            </range>
          </ranges>
        </level>
      </levels>
      <selections count="1">
        <selection n="[Student_AI_Usage_Dataset].[Study_Hour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s_before_Ai_" xr10:uid="{38BDACD8-CF63-4FEE-BAE2-09FAFFE4B5F9}" sourceName="[Student_AI_Usage_Dataset].[Grades_before_Ai_]">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Grades_before_Ai_].[(All)]" sourceCaption="(All)" count="0"/>
        <level uniqueName="[Student_AI_Usage_Dataset].[Grades_before_Ai_].[Grades_before_Ai_]" sourceCaption="Grades_before_Ai_" count="3">
          <ranges>
            <range startItem="0">
              <i n="[Student_AI_Usage_Dataset].[Grades_before_Ai_].&amp;[50-60 Marks]" c="50-60 Marks"/>
              <i n="[Student_AI_Usage_Dataset].[Grades_before_Ai_].&amp;[61-70 Marks]" c="61-70 Marks"/>
              <i n="[Student_AI_Usage_Dataset].[Grades_before_Ai_].&amp;[71 Marks above]" c="71 Marks above"/>
            </range>
          </ranges>
        </level>
      </levels>
      <selections count="1">
        <selection n="[Student_AI_Usage_Dataset].[Grades_before_Ai_].[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s_After_Ai_" xr10:uid="{FDB8A44C-DEB4-4F54-A79C-CBEC1E4FAE98}" sourceName="[Student_AI_Usage_Dataset].[Grades_After_Ai_]">
  <pivotTables>
    <pivotTable tabId="5" name="PivotTable9"/>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olap pivotCacheId="308834643">
      <levels count="2">
        <level uniqueName="[Student_AI_Usage_Dataset].[Grades_After_Ai_].[(All)]" sourceCaption="(All)" count="0"/>
        <level uniqueName="[Student_AI_Usage_Dataset].[Grades_After_Ai_].[Grades_After_Ai_]" sourceCaption="Grades_After_Ai_" count="3">
          <ranges>
            <range startItem="0">
              <i n="[Student_AI_Usage_Dataset].[Grades_After_Ai_].&amp;[50-60 Marks]" c="50-60 Marks"/>
              <i n="[Student_AI_Usage_Dataset].[Grades_After_Ai_].&amp;[61-70 Marks]" c="61-70 Marks"/>
              <i n="[Student_AI_Usage_Dataset].[Grades_After_Ai_].&amp;[71 Marks Above]" c="71 Marks Above"/>
            </range>
          </ranges>
        </level>
      </levels>
      <selections count="1">
        <selection n="[Student_AI_Usage_Dataset].[Grades_After_Ai_].[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B0076BC5-D074-4F68-9DC5-E036EB5FCA37}" cache="Slicer_Age_Group" caption="Age_Group" columnCount="2" showCaption="0" level="1" style="SlicerStyleDark5" rowHeight="241300"/>
  <slicer name="education_level" xr10:uid="{42F51E54-FF7B-429C-ABC8-4ED0227C7369}" cache="Slicer_education_level" caption="education_level" columnCount="2" showCaption="0" level="1" style="SlicerStyleDark5" rowHeight="241300"/>
  <slicer name="uses_ai" xr10:uid="{0EE795E5-DCAB-43BA-AB06-B5F04028A735}" cache="Slicer_uses_ai" caption="uses_ai" columnCount="2" showCaption="0" level="1" style="SlicerStyleDark5" rowHeight="241300"/>
  <slicer name="ai_tools_used" xr10:uid="{F511D434-EB67-42F0-B526-FB779B22F096}" cache="Slicer_ai_tools_used" caption="ai_tools_used" columnCount="2" showCaption="0" level="1" style="SlicerStyleDark5" rowHeight="241300"/>
  <slicer name="purpose_of_ai" xr10:uid="{9A14B57C-790F-4C7F-BC41-71F5EA759548}" cache="Slicer_purpose_of_ai" caption="purpose_of_ai" columnCount="2" showCaption="0" level="1" style="SlicerStyleDark5" rowHeight="241300"/>
  <slicer name="Study_Hours" xr10:uid="{D424585E-541A-40A2-BE5B-25BB252407F1}" cache="Slicer_Study_Hours" caption="Study_Hours" columnCount="2" showCaption="0" level="1" style="SlicerStyleDark5" rowHeight="241300"/>
  <slicer name="Grades_before_Ai_" xr10:uid="{B0BFD113-B51E-496C-B17B-E17DCE811D88}" cache="Slicer_Grades_before_Ai_" caption="Grades_before_Ai_" columnCount="2" showCaption="0" level="1" style="SlicerStyleDark5" rowHeight="241300"/>
  <slicer name="Grades_After_Ai_" xr10:uid="{52B5BADC-789F-4683-85EF-CAD582ACDED6}" cache="Slicer_Grades_After_Ai_" caption="Grades_After_Ai_" columnCount="2" showCaption="0" level="1"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D26CC9-DC83-4C13-9E76-099D739DCE87}" name="Student_AI_Usage_Dataset" displayName="Student_AI_Usage_Dataset" ref="A1:O101" tableType="queryTable" totalsRowShown="0">
  <autoFilter ref="A1:O101" xr:uid="{DDD26CC9-DC83-4C13-9E76-099D739DCE87}"/>
  <tableColumns count="15">
    <tableColumn id="1" xr3:uid="{C3DD7AD4-98F2-4D8A-B497-AAE6D847C5FB}" uniqueName="1" name="Std_ID" queryTableFieldId="1"/>
    <tableColumn id="11" xr3:uid="{645E8DB8-A95E-43AA-BD77-D9094DC9A405}" uniqueName="11" name="Age_Group" queryTableFieldId="11"/>
    <tableColumn id="2" xr3:uid="{A3E4D4D9-2C67-4DB4-A1BB-70D8348BC307}" uniqueName="2" name="age" queryTableFieldId="2"/>
    <tableColumn id="3" xr3:uid="{DA48881E-7EA1-4BAC-94BB-F3E0ED3901A5}" uniqueName="3" name="education_level" queryTableFieldId="3" dataDxfId="539"/>
    <tableColumn id="12" xr3:uid="{4DD5C0D2-9F8C-40C2-BB39-7DE98759A241}" uniqueName="12" name="Study_Hours" queryTableFieldId="12" dataDxfId="538"/>
    <tableColumn id="4" xr3:uid="{7BBE7525-04D8-4CE2-BE85-5BE60C517684}" uniqueName="4" name="study_hours_per_day" queryTableFieldId="4"/>
    <tableColumn id="5" xr3:uid="{C2D929ED-77E8-4A53-AC4A-A3ECB6352A58}" uniqueName="5" name="uses_ai" queryTableFieldId="5" dataDxfId="537"/>
    <tableColumn id="6" xr3:uid="{F66C2870-72AB-4FBB-9DBA-5FC461E704FF}" uniqueName="6" name="ai_tools_used" queryTableFieldId="6" dataDxfId="536"/>
    <tableColumn id="7" xr3:uid="{813D55F3-B8FE-40A0-A1C3-0DA133481982}" uniqueName="7" name="purpose_of_ai" queryTableFieldId="7" dataDxfId="535"/>
    <tableColumn id="13" xr3:uid="{77A1A2C4-57F9-4342-A076-B503ABDBEBA8}" uniqueName="13" name="Screen_time" queryTableFieldId="13"/>
    <tableColumn id="8" xr3:uid="{9A126821-C27A-4429-AD21-5E66C3DDEC88}" uniqueName="8" name="grades_before_ai" queryTableFieldId="8"/>
    <tableColumn id="9" xr3:uid="{D043B8CA-B562-45FC-B66F-49AF0677EF43}" uniqueName="9" name="grades_after_ai" queryTableFieldId="9"/>
    <tableColumn id="10" xr3:uid="{614FC8D0-8F7F-4266-A6D5-6598B160C33B}" uniqueName="10" name="daily_screen_time_hours" queryTableFieldId="10"/>
    <tableColumn id="14" xr3:uid="{3125B87C-2CD3-45CD-BB88-E9C88B5022A4}" uniqueName="14" name="Grades_before_Ai_" queryTableFieldId="14"/>
    <tableColumn id="15" xr3:uid="{7BC93E07-E1AB-4FE9-BFCA-545FABF6AACA}" uniqueName="15" name="Grades_After_Ai_"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CB82-AED8-4F34-9B94-5AFBDD43A2B4}">
  <sheetPr>
    <tabColor rgb="FF00B050"/>
  </sheetPr>
  <dimension ref="A1:XFD30"/>
  <sheetViews>
    <sheetView showGridLines="0" showRowColHeaders="0" tabSelected="1" zoomScale="90" zoomScaleNormal="90" workbookViewId="0">
      <selection activeCell="P16" sqref="P16"/>
    </sheetView>
  </sheetViews>
  <sheetFormatPr defaultColWidth="0" defaultRowHeight="14.5" zeroHeight="1" x14ac:dyDescent="0.35"/>
  <cols>
    <col min="1" max="1" width="9.54296875" style="16" customWidth="1"/>
    <col min="2" max="2" width="20.453125" style="16" customWidth="1"/>
    <col min="3" max="3" width="2.1796875" style="15" customWidth="1"/>
    <col min="4" max="9" width="8.7265625" style="16" customWidth="1"/>
    <col min="10" max="10" width="2.08984375" style="15" customWidth="1"/>
    <col min="11" max="11" width="16.1796875" style="16" customWidth="1"/>
    <col min="12" max="14" width="8.7265625" style="16" customWidth="1"/>
    <col min="15" max="15" width="8.453125" style="16" customWidth="1"/>
    <col min="16" max="16" width="1.90625" style="15" customWidth="1"/>
    <col min="17" max="17" width="15.26953125" style="16" customWidth="1"/>
    <col min="18" max="18" width="6.81640625" style="16" customWidth="1"/>
    <col min="19" max="19" width="10.453125" style="16" customWidth="1"/>
    <col min="20" max="20" width="18.6328125" style="16" customWidth="1"/>
    <col min="21" max="21" width="2.81640625" style="15" customWidth="1"/>
    <col min="22" max="22" width="8.7265625" style="16" customWidth="1"/>
    <col min="23" max="23" width="8.7265625" style="16" hidden="1" customWidth="1"/>
    <col min="24" max="24" width="21.36328125" style="16" hidden="1" customWidth="1"/>
    <col min="25" max="16383" width="8.7265625" style="16" hidden="1"/>
    <col min="16384" max="16384" width="16.08984375" style="16" hidden="1" customWidth="1"/>
  </cols>
  <sheetData>
    <row r="1" spans="1:24" ht="14.5" customHeight="1" x14ac:dyDescent="0.35">
      <c r="D1" s="18" t="s">
        <v>77</v>
      </c>
      <c r="E1" s="18"/>
      <c r="F1" s="18"/>
      <c r="G1" s="18"/>
      <c r="H1" s="18"/>
      <c r="I1" s="18"/>
      <c r="J1" s="18"/>
      <c r="K1" s="18"/>
      <c r="L1" s="18"/>
      <c r="M1" s="18"/>
      <c r="N1" s="18"/>
      <c r="O1" s="18"/>
      <c r="P1" s="18"/>
      <c r="Q1" s="18"/>
      <c r="R1" s="18"/>
      <c r="S1" s="18"/>
      <c r="T1" s="17"/>
      <c r="U1" s="17"/>
      <c r="V1" s="17"/>
      <c r="W1" s="17"/>
      <c r="X1" s="17"/>
    </row>
    <row r="2" spans="1:24" x14ac:dyDescent="0.35">
      <c r="D2" s="18"/>
      <c r="E2" s="18"/>
      <c r="F2" s="18"/>
      <c r="G2" s="18"/>
      <c r="H2" s="18"/>
      <c r="I2" s="18"/>
      <c r="J2" s="18"/>
      <c r="K2" s="18"/>
      <c r="L2" s="18"/>
      <c r="M2" s="18"/>
      <c r="N2" s="18"/>
      <c r="O2" s="18"/>
      <c r="P2" s="18"/>
      <c r="Q2" s="18"/>
      <c r="R2" s="18"/>
      <c r="S2" s="18"/>
      <c r="T2" s="17"/>
      <c r="U2" s="17"/>
      <c r="V2" s="17"/>
      <c r="W2" s="17"/>
      <c r="X2" s="17"/>
    </row>
    <row r="3" spans="1:24" x14ac:dyDescent="0.35">
      <c r="D3" s="14" t="s">
        <v>74</v>
      </c>
      <c r="E3" s="14"/>
      <c r="F3" s="13"/>
      <c r="G3" s="14" t="s">
        <v>58</v>
      </c>
      <c r="H3" s="14"/>
      <c r="I3" s="13"/>
      <c r="J3" s="14" t="s">
        <v>59</v>
      </c>
      <c r="K3" s="14"/>
      <c r="L3" s="13"/>
      <c r="M3" s="14" t="s">
        <v>78</v>
      </c>
      <c r="N3" s="14"/>
      <c r="O3" s="13"/>
      <c r="Q3" s="20" t="s">
        <v>79</v>
      </c>
      <c r="R3" s="20"/>
      <c r="S3" s="13"/>
      <c r="T3" s="13" t="s">
        <v>83</v>
      </c>
      <c r="U3" s="13"/>
      <c r="V3" s="13"/>
      <c r="W3" s="13"/>
    </row>
    <row r="4" spans="1:24" x14ac:dyDescent="0.35">
      <c r="D4" s="14">
        <f>GETPIVOTDATA("[Measures].[Total Students]",Pivot!$A$3)</f>
        <v>100</v>
      </c>
      <c r="E4" s="14"/>
      <c r="F4" s="13"/>
      <c r="G4" s="14">
        <f>GETPIVOTDATA("[Measures].[Avg Age]",Pivot!$B$3)</f>
        <v>16.489999999999998</v>
      </c>
      <c r="H4" s="14"/>
      <c r="I4" s="13"/>
      <c r="J4" s="14">
        <f>GETPIVOTDATA("[Measures].[Avg Study Hour]",Pivot!$E$3)</f>
        <v>2.9870000000000001</v>
      </c>
      <c r="K4" s="14"/>
      <c r="L4" s="13"/>
      <c r="M4" s="14">
        <f>GETPIVOTDATA("[Measures].[Avg Grde bfr Ai ]",Pivot!$I$3)</f>
        <v>64.77</v>
      </c>
      <c r="N4" s="14"/>
      <c r="O4" s="13"/>
      <c r="Q4" s="14">
        <f>GETPIVOTDATA("[Measures].[Avg Grde after Ai]",Pivot!$K$3)</f>
        <v>68.7</v>
      </c>
      <c r="R4" s="14"/>
      <c r="S4" s="13"/>
      <c r="T4" s="10">
        <f>GETPIVOTDATA("[Measures].[Avg btw Grades ]",Pivot!$M$3)</f>
        <v>3.9300000000000068</v>
      </c>
      <c r="U4" s="13"/>
      <c r="V4" s="13"/>
      <c r="W4" s="13"/>
    </row>
    <row r="5" spans="1:24" s="15" customFormat="1" x14ac:dyDescent="0.35">
      <c r="A5" s="16"/>
      <c r="B5" s="16"/>
    </row>
    <row r="6" spans="1:24" customFormat="1" x14ac:dyDescent="0.35">
      <c r="A6" s="16"/>
      <c r="B6" s="16"/>
      <c r="C6" s="15"/>
      <c r="J6" s="15"/>
      <c r="P6" s="15"/>
      <c r="Q6" s="16"/>
      <c r="R6" s="16"/>
      <c r="S6" s="16"/>
      <c r="T6" s="16"/>
      <c r="U6" s="15"/>
      <c r="V6" s="16"/>
      <c r="W6" s="16"/>
      <c r="X6" s="16"/>
    </row>
    <row r="7" spans="1:24" customFormat="1" x14ac:dyDescent="0.35">
      <c r="A7" s="16"/>
      <c r="B7" s="16"/>
      <c r="C7" s="15"/>
      <c r="J7" s="15"/>
      <c r="P7" s="15"/>
      <c r="Q7" s="16"/>
      <c r="R7" s="16"/>
      <c r="S7" s="16"/>
      <c r="T7" s="16"/>
      <c r="U7" s="15"/>
      <c r="V7" s="16"/>
      <c r="W7" s="16"/>
      <c r="X7" s="16"/>
    </row>
    <row r="8" spans="1:24" customFormat="1" x14ac:dyDescent="0.35">
      <c r="A8" s="16"/>
      <c r="B8" s="16"/>
      <c r="C8" s="15"/>
      <c r="J8" s="15"/>
      <c r="P8" s="15"/>
      <c r="Q8" s="16"/>
      <c r="R8" s="16"/>
      <c r="S8" s="16"/>
      <c r="T8" s="16"/>
      <c r="U8" s="15"/>
      <c r="V8" s="16"/>
      <c r="W8" s="16"/>
      <c r="X8" s="16"/>
    </row>
    <row r="9" spans="1:24" customFormat="1" x14ac:dyDescent="0.35">
      <c r="A9" s="16"/>
      <c r="B9" s="16"/>
      <c r="C9" s="15"/>
      <c r="J9" s="15"/>
      <c r="P9" s="15"/>
      <c r="Q9" s="16"/>
      <c r="R9" s="16"/>
      <c r="S9" s="16"/>
      <c r="T9" s="16"/>
      <c r="U9" s="15"/>
      <c r="V9" s="16"/>
      <c r="W9" s="16"/>
      <c r="X9" s="16"/>
    </row>
    <row r="10" spans="1:24" customFormat="1" x14ac:dyDescent="0.35">
      <c r="A10" s="16"/>
      <c r="B10" s="16"/>
      <c r="C10" s="15"/>
      <c r="J10" s="15"/>
      <c r="P10" s="15"/>
      <c r="Q10" s="16"/>
      <c r="R10" s="16"/>
      <c r="S10" s="16"/>
      <c r="T10" s="16"/>
      <c r="U10" s="15"/>
      <c r="V10" s="16"/>
      <c r="W10" s="16"/>
      <c r="X10" s="16"/>
    </row>
    <row r="11" spans="1:24" customFormat="1" x14ac:dyDescent="0.35">
      <c r="A11" s="16"/>
      <c r="B11" s="16"/>
      <c r="C11" s="15"/>
      <c r="J11" s="15"/>
      <c r="P11" s="15"/>
      <c r="Q11" s="16"/>
      <c r="R11" s="16"/>
      <c r="S11" s="16"/>
      <c r="T11" s="16"/>
      <c r="U11" s="15"/>
      <c r="V11" s="16"/>
      <c r="W11" s="16"/>
      <c r="X11" s="16"/>
    </row>
    <row r="12" spans="1:24" customFormat="1" x14ac:dyDescent="0.35">
      <c r="A12" s="16"/>
      <c r="B12" s="16"/>
      <c r="C12" s="15"/>
      <c r="J12" s="15"/>
      <c r="P12" s="15"/>
      <c r="Q12" s="16"/>
      <c r="R12" s="16"/>
      <c r="S12" s="16"/>
      <c r="T12" s="16"/>
      <c r="U12" s="15"/>
      <c r="V12" s="16"/>
      <c r="W12" s="16"/>
      <c r="X12" s="16"/>
    </row>
    <row r="13" spans="1:24" customFormat="1" x14ac:dyDescent="0.35">
      <c r="A13" s="16"/>
      <c r="B13" s="16"/>
      <c r="C13" s="15"/>
      <c r="J13" s="15"/>
      <c r="P13" s="15"/>
      <c r="Q13" s="16"/>
      <c r="R13" s="16"/>
      <c r="S13" s="16"/>
      <c r="T13" s="16"/>
      <c r="U13" s="15"/>
      <c r="V13" s="16"/>
      <c r="W13" s="16"/>
      <c r="X13" s="16"/>
    </row>
    <row r="14" spans="1:24" customFormat="1" x14ac:dyDescent="0.35">
      <c r="A14" s="16"/>
      <c r="B14" s="16"/>
      <c r="C14" s="15"/>
      <c r="J14" s="15"/>
      <c r="P14" s="15"/>
      <c r="Q14" s="16"/>
      <c r="R14" s="16"/>
      <c r="S14" s="16"/>
      <c r="T14" s="16"/>
      <c r="U14" s="15"/>
      <c r="V14" s="16"/>
      <c r="W14" s="16"/>
      <c r="X14" s="16"/>
    </row>
    <row r="15" spans="1:24" customFormat="1" x14ac:dyDescent="0.35">
      <c r="A15" s="16"/>
      <c r="B15" s="16"/>
      <c r="C15" s="15"/>
      <c r="J15" s="15"/>
      <c r="P15" s="15"/>
      <c r="Q15" s="16"/>
      <c r="R15" s="16"/>
      <c r="S15" s="16"/>
      <c r="T15" s="16"/>
      <c r="U15" s="15"/>
      <c r="V15" s="16"/>
      <c r="W15" s="16"/>
      <c r="X15" s="16"/>
    </row>
    <row r="16" spans="1:24" customFormat="1" x14ac:dyDescent="0.35">
      <c r="A16" s="16"/>
      <c r="B16" s="16"/>
      <c r="C16" s="15"/>
      <c r="J16" s="15"/>
      <c r="P16" s="15"/>
      <c r="Q16" s="16"/>
      <c r="R16" s="16"/>
      <c r="S16" s="16"/>
      <c r="T16" s="16"/>
      <c r="U16" s="15"/>
      <c r="V16" s="16"/>
      <c r="W16" s="16"/>
      <c r="X16" s="16"/>
    </row>
    <row r="17" spans="1:2" s="15" customFormat="1" x14ac:dyDescent="0.35">
      <c r="A17" s="16"/>
      <c r="B17" s="16"/>
    </row>
    <row r="18" spans="1:2" x14ac:dyDescent="0.35"/>
    <row r="19" spans="1:2" x14ac:dyDescent="0.35"/>
    <row r="20" spans="1:2" x14ac:dyDescent="0.35"/>
    <row r="21" spans="1:2" x14ac:dyDescent="0.35"/>
    <row r="22" spans="1:2" x14ac:dyDescent="0.35"/>
    <row r="23" spans="1:2" x14ac:dyDescent="0.35"/>
    <row r="24" spans="1:2" x14ac:dyDescent="0.35"/>
    <row r="25" spans="1:2" x14ac:dyDescent="0.35"/>
    <row r="26" spans="1:2" x14ac:dyDescent="0.35"/>
    <row r="27" spans="1:2" x14ac:dyDescent="0.35"/>
    <row r="28" spans="1:2" x14ac:dyDescent="0.35"/>
    <row r="29" spans="1:2" x14ac:dyDescent="0.35"/>
    <row r="30" spans="1:2" ht="132.5" customHeight="1" x14ac:dyDescent="0.35"/>
  </sheetData>
  <mergeCells count="11">
    <mergeCell ref="M3:N3"/>
    <mergeCell ref="M4:N4"/>
    <mergeCell ref="Q3:R3"/>
    <mergeCell ref="Q4:R4"/>
    <mergeCell ref="D3:E3"/>
    <mergeCell ref="D4:E4"/>
    <mergeCell ref="G3:H3"/>
    <mergeCell ref="D1:S2"/>
    <mergeCell ref="G4:H4"/>
    <mergeCell ref="J3:K3"/>
    <mergeCell ref="J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DC47-CD43-4E25-B381-EF0371AECFE0}">
  <sheetPr codeName="Sheet2">
    <tabColor rgb="FF92D050"/>
  </sheetPr>
  <dimension ref="A1:O101"/>
  <sheetViews>
    <sheetView zoomScale="96" workbookViewId="0"/>
  </sheetViews>
  <sheetFormatPr defaultRowHeight="14.5" x14ac:dyDescent="0.35"/>
  <cols>
    <col min="1" max="1" width="8.6328125" bestFit="1" customWidth="1"/>
    <col min="2" max="2" width="12.453125" bestFit="1" customWidth="1"/>
    <col min="3" max="3" width="6" hidden="1" customWidth="1"/>
    <col min="4" max="4" width="16.36328125" bestFit="1" customWidth="1"/>
    <col min="5" max="5" width="13.81640625" bestFit="1" customWidth="1"/>
    <col min="6" max="6" width="21.54296875" hidden="1" customWidth="1"/>
    <col min="7" max="7" width="9.26953125" bestFit="1" customWidth="1"/>
    <col min="8" max="8" width="14.7265625" bestFit="1" customWidth="1"/>
    <col min="9" max="9" width="15.26953125" bestFit="1" customWidth="1"/>
    <col min="10" max="10" width="13.54296875" bestFit="1" customWidth="1"/>
    <col min="11" max="11" width="17.7265625" hidden="1" customWidth="1"/>
    <col min="12" max="12" width="16.26953125" hidden="1" customWidth="1"/>
    <col min="13" max="13" width="24.36328125" hidden="1" customWidth="1"/>
    <col min="14" max="14" width="19.36328125" bestFit="1" customWidth="1"/>
    <col min="15" max="15" width="18" bestFit="1" customWidth="1"/>
  </cols>
  <sheetData>
    <row r="1" spans="1:15" x14ac:dyDescent="0.35">
      <c r="A1" t="s">
        <v>0</v>
      </c>
      <c r="B1" t="s">
        <v>10</v>
      </c>
      <c r="C1" t="s">
        <v>1</v>
      </c>
      <c r="D1" t="s">
        <v>2</v>
      </c>
      <c r="E1" t="s">
        <v>11</v>
      </c>
      <c r="F1" t="s">
        <v>3</v>
      </c>
      <c r="G1" t="s">
        <v>4</v>
      </c>
      <c r="H1" t="s">
        <v>5</v>
      </c>
      <c r="I1" t="s">
        <v>6</v>
      </c>
      <c r="J1" t="s">
        <v>12</v>
      </c>
      <c r="K1" t="s">
        <v>7</v>
      </c>
      <c r="L1" t="s">
        <v>8</v>
      </c>
      <c r="M1" t="s">
        <v>9</v>
      </c>
      <c r="N1" t="s">
        <v>13</v>
      </c>
      <c r="O1" t="s">
        <v>14</v>
      </c>
    </row>
    <row r="2" spans="1:15" x14ac:dyDescent="0.35">
      <c r="A2">
        <v>1</v>
      </c>
      <c r="B2" t="s">
        <v>18</v>
      </c>
      <c r="C2">
        <v>19</v>
      </c>
      <c r="D2" s="1" t="s">
        <v>15</v>
      </c>
      <c r="E2" s="1" t="s">
        <v>80</v>
      </c>
      <c r="F2">
        <v>1.4</v>
      </c>
      <c r="G2" s="1" t="s">
        <v>16</v>
      </c>
      <c r="H2" s="1" t="s">
        <v>17</v>
      </c>
      <c r="I2" s="1" t="s">
        <v>17</v>
      </c>
      <c r="J2" t="s">
        <v>19</v>
      </c>
      <c r="K2">
        <v>62</v>
      </c>
      <c r="L2">
        <v>62</v>
      </c>
      <c r="M2">
        <v>3</v>
      </c>
      <c r="N2" t="s">
        <v>20</v>
      </c>
      <c r="O2" t="s">
        <v>20</v>
      </c>
    </row>
    <row r="3" spans="1:15" x14ac:dyDescent="0.35">
      <c r="A3">
        <v>2</v>
      </c>
      <c r="B3" t="s">
        <v>25</v>
      </c>
      <c r="C3">
        <v>15</v>
      </c>
      <c r="D3" s="1" t="s">
        <v>21</v>
      </c>
      <c r="E3" s="1" t="s">
        <v>81</v>
      </c>
      <c r="F3">
        <v>3.9</v>
      </c>
      <c r="G3" s="1" t="s">
        <v>22</v>
      </c>
      <c r="H3" s="1" t="s">
        <v>23</v>
      </c>
      <c r="I3" s="1" t="s">
        <v>24</v>
      </c>
      <c r="J3" t="s">
        <v>19</v>
      </c>
      <c r="K3">
        <v>56</v>
      </c>
      <c r="L3">
        <v>61</v>
      </c>
      <c r="M3">
        <v>2</v>
      </c>
      <c r="N3" t="s">
        <v>26</v>
      </c>
      <c r="O3" t="s">
        <v>20</v>
      </c>
    </row>
    <row r="4" spans="1:15" x14ac:dyDescent="0.35">
      <c r="A4">
        <v>3</v>
      </c>
      <c r="B4" t="s">
        <v>25</v>
      </c>
      <c r="C4">
        <v>15</v>
      </c>
      <c r="D4" s="1" t="s">
        <v>21</v>
      </c>
      <c r="E4" s="1" t="s">
        <v>80</v>
      </c>
      <c r="F4">
        <v>1.9</v>
      </c>
      <c r="G4" s="1" t="s">
        <v>22</v>
      </c>
      <c r="H4" s="1" t="s">
        <v>23</v>
      </c>
      <c r="I4" s="1" t="s">
        <v>27</v>
      </c>
      <c r="J4" t="s">
        <v>28</v>
      </c>
      <c r="K4">
        <v>75</v>
      </c>
      <c r="L4">
        <v>88</v>
      </c>
      <c r="M4">
        <v>5</v>
      </c>
      <c r="N4" t="s">
        <v>29</v>
      </c>
      <c r="O4" t="s">
        <v>30</v>
      </c>
    </row>
    <row r="5" spans="1:15" x14ac:dyDescent="0.35">
      <c r="A5">
        <v>4</v>
      </c>
      <c r="B5" t="s">
        <v>25</v>
      </c>
      <c r="C5">
        <v>15</v>
      </c>
      <c r="D5" s="1" t="s">
        <v>21</v>
      </c>
      <c r="E5" s="1" t="s">
        <v>81</v>
      </c>
      <c r="F5">
        <v>2.8</v>
      </c>
      <c r="G5" s="1" t="s">
        <v>16</v>
      </c>
      <c r="H5" s="1" t="s">
        <v>17</v>
      </c>
      <c r="I5" s="1" t="s">
        <v>17</v>
      </c>
      <c r="J5" t="s">
        <v>19</v>
      </c>
      <c r="K5">
        <v>55</v>
      </c>
      <c r="L5">
        <v>55</v>
      </c>
      <c r="M5">
        <v>3</v>
      </c>
      <c r="N5" t="s">
        <v>26</v>
      </c>
      <c r="O5" t="s">
        <v>26</v>
      </c>
    </row>
    <row r="6" spans="1:15" x14ac:dyDescent="0.35">
      <c r="A6">
        <v>5</v>
      </c>
      <c r="B6" t="s">
        <v>18</v>
      </c>
      <c r="C6">
        <v>19</v>
      </c>
      <c r="D6" s="1" t="s">
        <v>15</v>
      </c>
      <c r="E6" s="1" t="s">
        <v>81</v>
      </c>
      <c r="F6">
        <v>2.7</v>
      </c>
      <c r="G6" s="1" t="s">
        <v>16</v>
      </c>
      <c r="H6" s="1" t="s">
        <v>17</v>
      </c>
      <c r="I6" s="1" t="s">
        <v>17</v>
      </c>
      <c r="J6" t="s">
        <v>19</v>
      </c>
      <c r="K6">
        <v>59</v>
      </c>
      <c r="L6">
        <v>59</v>
      </c>
      <c r="M6">
        <v>3</v>
      </c>
      <c r="N6" t="s">
        <v>26</v>
      </c>
      <c r="O6" t="s">
        <v>26</v>
      </c>
    </row>
    <row r="7" spans="1:15" x14ac:dyDescent="0.35">
      <c r="A7">
        <v>6</v>
      </c>
      <c r="B7" t="s">
        <v>31</v>
      </c>
      <c r="C7">
        <v>16</v>
      </c>
      <c r="D7" s="1" t="s">
        <v>21</v>
      </c>
      <c r="E7" s="1" t="s">
        <v>80</v>
      </c>
      <c r="F7">
        <v>1.4</v>
      </c>
      <c r="G7" s="1" t="s">
        <v>16</v>
      </c>
      <c r="H7" s="1" t="s">
        <v>17</v>
      </c>
      <c r="I7" s="1" t="s">
        <v>17</v>
      </c>
      <c r="J7" t="s">
        <v>28</v>
      </c>
      <c r="K7">
        <v>58</v>
      </c>
      <c r="L7">
        <v>58</v>
      </c>
      <c r="M7">
        <v>4</v>
      </c>
      <c r="N7" t="s">
        <v>26</v>
      </c>
      <c r="O7" t="s">
        <v>26</v>
      </c>
    </row>
    <row r="8" spans="1:15" x14ac:dyDescent="0.35">
      <c r="A8">
        <v>7</v>
      </c>
      <c r="B8" t="s">
        <v>31</v>
      </c>
      <c r="C8">
        <v>16</v>
      </c>
      <c r="D8" s="1" t="s">
        <v>21</v>
      </c>
      <c r="E8" s="1" t="s">
        <v>81</v>
      </c>
      <c r="F8">
        <v>3.4</v>
      </c>
      <c r="G8" s="1" t="s">
        <v>22</v>
      </c>
      <c r="H8" s="1" t="s">
        <v>23</v>
      </c>
      <c r="I8" s="1" t="s">
        <v>24</v>
      </c>
      <c r="J8" t="s">
        <v>28</v>
      </c>
      <c r="K8">
        <v>72</v>
      </c>
      <c r="L8">
        <v>78</v>
      </c>
      <c r="M8">
        <v>5</v>
      </c>
      <c r="N8" t="s">
        <v>29</v>
      </c>
      <c r="O8" t="s">
        <v>30</v>
      </c>
    </row>
    <row r="9" spans="1:15" x14ac:dyDescent="0.35">
      <c r="A9">
        <v>8</v>
      </c>
      <c r="B9" t="s">
        <v>25</v>
      </c>
      <c r="C9">
        <v>14</v>
      </c>
      <c r="D9" s="1" t="s">
        <v>21</v>
      </c>
      <c r="E9" s="1" t="s">
        <v>81</v>
      </c>
      <c r="F9">
        <v>3.2</v>
      </c>
      <c r="G9" s="1" t="s">
        <v>16</v>
      </c>
      <c r="H9" s="1" t="s">
        <v>17</v>
      </c>
      <c r="I9" s="1" t="s">
        <v>17</v>
      </c>
      <c r="J9" t="s">
        <v>19</v>
      </c>
      <c r="K9">
        <v>73</v>
      </c>
      <c r="L9">
        <v>73</v>
      </c>
      <c r="M9">
        <v>3</v>
      </c>
      <c r="N9" t="s">
        <v>29</v>
      </c>
      <c r="O9" t="s">
        <v>30</v>
      </c>
    </row>
    <row r="10" spans="1:15" x14ac:dyDescent="0.35">
      <c r="A10">
        <v>9</v>
      </c>
      <c r="B10" t="s">
        <v>18</v>
      </c>
      <c r="C10">
        <v>19</v>
      </c>
      <c r="D10" s="1" t="s">
        <v>15</v>
      </c>
      <c r="E10" s="1" t="s">
        <v>80</v>
      </c>
      <c r="F10">
        <v>1.3</v>
      </c>
      <c r="G10" s="1" t="s">
        <v>22</v>
      </c>
      <c r="H10" s="1" t="s">
        <v>32</v>
      </c>
      <c r="I10" s="1" t="s">
        <v>27</v>
      </c>
      <c r="J10" t="s">
        <v>28</v>
      </c>
      <c r="K10">
        <v>62</v>
      </c>
      <c r="L10">
        <v>68</v>
      </c>
      <c r="M10">
        <v>5</v>
      </c>
      <c r="N10" t="s">
        <v>20</v>
      </c>
      <c r="O10" t="s">
        <v>20</v>
      </c>
    </row>
    <row r="11" spans="1:15" x14ac:dyDescent="0.35">
      <c r="A11">
        <v>10</v>
      </c>
      <c r="B11" t="s">
        <v>31</v>
      </c>
      <c r="C11">
        <v>16</v>
      </c>
      <c r="D11" s="1" t="s">
        <v>21</v>
      </c>
      <c r="E11" s="1" t="s">
        <v>81</v>
      </c>
      <c r="F11">
        <v>2.8</v>
      </c>
      <c r="G11" s="1" t="s">
        <v>16</v>
      </c>
      <c r="H11" s="1" t="s">
        <v>17</v>
      </c>
      <c r="I11" s="1" t="s">
        <v>17</v>
      </c>
      <c r="J11" t="s">
        <v>28</v>
      </c>
      <c r="K11">
        <v>60</v>
      </c>
      <c r="L11">
        <v>60</v>
      </c>
      <c r="M11">
        <v>4</v>
      </c>
      <c r="N11" t="s">
        <v>26</v>
      </c>
      <c r="O11" t="s">
        <v>26</v>
      </c>
    </row>
    <row r="12" spans="1:15" x14ac:dyDescent="0.35">
      <c r="A12">
        <v>11</v>
      </c>
      <c r="B12" t="s">
        <v>31</v>
      </c>
      <c r="C12">
        <v>16</v>
      </c>
      <c r="D12" s="1" t="s">
        <v>21</v>
      </c>
      <c r="E12" s="1" t="s">
        <v>80</v>
      </c>
      <c r="F12">
        <v>1.8</v>
      </c>
      <c r="G12" s="1" t="s">
        <v>16</v>
      </c>
      <c r="H12" s="1" t="s">
        <v>17</v>
      </c>
      <c r="I12" s="1" t="s">
        <v>17</v>
      </c>
      <c r="J12" t="s">
        <v>19</v>
      </c>
      <c r="K12">
        <v>75</v>
      </c>
      <c r="L12">
        <v>75</v>
      </c>
      <c r="M12">
        <v>2</v>
      </c>
      <c r="N12" t="s">
        <v>29</v>
      </c>
      <c r="O12" t="s">
        <v>30</v>
      </c>
    </row>
    <row r="13" spans="1:15" x14ac:dyDescent="0.35">
      <c r="A13">
        <v>12</v>
      </c>
      <c r="B13" t="s">
        <v>18</v>
      </c>
      <c r="C13">
        <v>18</v>
      </c>
      <c r="D13" s="1" t="s">
        <v>15</v>
      </c>
      <c r="E13" s="1" t="s">
        <v>81</v>
      </c>
      <c r="F13">
        <v>3.5</v>
      </c>
      <c r="G13" s="1" t="s">
        <v>22</v>
      </c>
      <c r="H13" s="1" t="s">
        <v>33</v>
      </c>
      <c r="I13" s="1" t="s">
        <v>24</v>
      </c>
      <c r="J13" t="s">
        <v>34</v>
      </c>
      <c r="K13">
        <v>67</v>
      </c>
      <c r="L13">
        <v>76</v>
      </c>
      <c r="M13">
        <v>7</v>
      </c>
      <c r="N13" t="s">
        <v>20</v>
      </c>
      <c r="O13" t="s">
        <v>30</v>
      </c>
    </row>
    <row r="14" spans="1:15" x14ac:dyDescent="0.35">
      <c r="A14">
        <v>13</v>
      </c>
      <c r="B14" t="s">
        <v>18</v>
      </c>
      <c r="C14">
        <v>19</v>
      </c>
      <c r="D14" s="1" t="s">
        <v>15</v>
      </c>
      <c r="E14" s="1" t="s">
        <v>81</v>
      </c>
      <c r="F14">
        <v>3.2</v>
      </c>
      <c r="G14" s="1" t="s">
        <v>16</v>
      </c>
      <c r="H14" s="1" t="s">
        <v>17</v>
      </c>
      <c r="I14" s="1" t="s">
        <v>17</v>
      </c>
      <c r="J14" t="s">
        <v>19</v>
      </c>
      <c r="K14">
        <v>56</v>
      </c>
      <c r="L14">
        <v>56</v>
      </c>
      <c r="M14">
        <v>3</v>
      </c>
      <c r="N14" t="s">
        <v>26</v>
      </c>
      <c r="O14" t="s">
        <v>26</v>
      </c>
    </row>
    <row r="15" spans="1:15" x14ac:dyDescent="0.35">
      <c r="A15">
        <v>14</v>
      </c>
      <c r="B15" t="s">
        <v>25</v>
      </c>
      <c r="C15">
        <v>14</v>
      </c>
      <c r="D15" s="1" t="s">
        <v>21</v>
      </c>
      <c r="E15" s="1" t="s">
        <v>82</v>
      </c>
      <c r="F15">
        <v>4.2</v>
      </c>
      <c r="G15" s="1" t="s">
        <v>16</v>
      </c>
      <c r="H15" s="1" t="s">
        <v>17</v>
      </c>
      <c r="I15" s="1" t="s">
        <v>17</v>
      </c>
      <c r="J15" t="s">
        <v>19</v>
      </c>
      <c r="K15">
        <v>63</v>
      </c>
      <c r="L15">
        <v>63</v>
      </c>
      <c r="M15">
        <v>2</v>
      </c>
      <c r="N15" t="s">
        <v>20</v>
      </c>
      <c r="O15" t="s">
        <v>20</v>
      </c>
    </row>
    <row r="16" spans="1:15" x14ac:dyDescent="0.35">
      <c r="A16">
        <v>15</v>
      </c>
      <c r="B16" t="s">
        <v>25</v>
      </c>
      <c r="C16">
        <v>15</v>
      </c>
      <c r="D16" s="1" t="s">
        <v>21</v>
      </c>
      <c r="E16" s="1" t="s">
        <v>82</v>
      </c>
      <c r="F16">
        <v>4.7</v>
      </c>
      <c r="G16" s="1" t="s">
        <v>16</v>
      </c>
      <c r="H16" s="1" t="s">
        <v>17</v>
      </c>
      <c r="I16" s="1" t="s">
        <v>17</v>
      </c>
      <c r="J16" t="s">
        <v>34</v>
      </c>
      <c r="K16">
        <v>61</v>
      </c>
      <c r="L16">
        <v>61</v>
      </c>
      <c r="M16">
        <v>7</v>
      </c>
      <c r="N16" t="s">
        <v>20</v>
      </c>
      <c r="O16" t="s">
        <v>20</v>
      </c>
    </row>
    <row r="17" spans="1:15" x14ac:dyDescent="0.35">
      <c r="A17">
        <v>16</v>
      </c>
      <c r="B17" t="s">
        <v>31</v>
      </c>
      <c r="C17">
        <v>17</v>
      </c>
      <c r="D17" s="1" t="s">
        <v>15</v>
      </c>
      <c r="E17" s="1" t="s">
        <v>81</v>
      </c>
      <c r="F17">
        <v>2.6</v>
      </c>
      <c r="G17" s="1" t="s">
        <v>16</v>
      </c>
      <c r="H17" s="1" t="s">
        <v>17</v>
      </c>
      <c r="I17" s="1" t="s">
        <v>17</v>
      </c>
      <c r="J17" t="s">
        <v>28</v>
      </c>
      <c r="K17">
        <v>59</v>
      </c>
      <c r="L17">
        <v>59</v>
      </c>
      <c r="M17">
        <v>4</v>
      </c>
      <c r="N17" t="s">
        <v>26</v>
      </c>
      <c r="O17" t="s">
        <v>26</v>
      </c>
    </row>
    <row r="18" spans="1:15" x14ac:dyDescent="0.35">
      <c r="A18">
        <v>17</v>
      </c>
      <c r="B18" t="s">
        <v>25</v>
      </c>
      <c r="C18">
        <v>15</v>
      </c>
      <c r="D18" s="1" t="s">
        <v>21</v>
      </c>
      <c r="E18" s="1" t="s">
        <v>80</v>
      </c>
      <c r="F18">
        <v>2</v>
      </c>
      <c r="G18" s="1" t="s">
        <v>16</v>
      </c>
      <c r="H18" s="1" t="s">
        <v>17</v>
      </c>
      <c r="I18" s="1" t="s">
        <v>17</v>
      </c>
      <c r="J18" t="s">
        <v>28</v>
      </c>
      <c r="K18">
        <v>73</v>
      </c>
      <c r="L18">
        <v>73</v>
      </c>
      <c r="M18">
        <v>5</v>
      </c>
      <c r="N18" t="s">
        <v>29</v>
      </c>
      <c r="O18" t="s">
        <v>30</v>
      </c>
    </row>
    <row r="19" spans="1:15" x14ac:dyDescent="0.35">
      <c r="A19">
        <v>18</v>
      </c>
      <c r="B19" t="s">
        <v>18</v>
      </c>
      <c r="C19">
        <v>18</v>
      </c>
      <c r="D19" s="1" t="s">
        <v>15</v>
      </c>
      <c r="E19" s="1" t="s">
        <v>81</v>
      </c>
      <c r="F19">
        <v>2.6</v>
      </c>
      <c r="G19" s="1" t="s">
        <v>22</v>
      </c>
      <c r="H19" s="1" t="s">
        <v>33</v>
      </c>
      <c r="I19" s="1" t="s">
        <v>35</v>
      </c>
      <c r="J19" t="s">
        <v>19</v>
      </c>
      <c r="K19">
        <v>70</v>
      </c>
      <c r="L19">
        <v>76</v>
      </c>
      <c r="M19">
        <v>2</v>
      </c>
      <c r="N19" t="s">
        <v>20</v>
      </c>
      <c r="O19" t="s">
        <v>30</v>
      </c>
    </row>
    <row r="20" spans="1:15" x14ac:dyDescent="0.35">
      <c r="A20">
        <v>19</v>
      </c>
      <c r="B20" t="s">
        <v>25</v>
      </c>
      <c r="C20">
        <v>14</v>
      </c>
      <c r="D20" s="1" t="s">
        <v>21</v>
      </c>
      <c r="E20" s="1" t="s">
        <v>80</v>
      </c>
      <c r="F20">
        <v>1.6</v>
      </c>
      <c r="G20" s="1" t="s">
        <v>22</v>
      </c>
      <c r="H20" s="1" t="s">
        <v>23</v>
      </c>
      <c r="I20" s="1" t="s">
        <v>24</v>
      </c>
      <c r="J20" t="s">
        <v>28</v>
      </c>
      <c r="K20">
        <v>74</v>
      </c>
      <c r="L20">
        <v>80</v>
      </c>
      <c r="M20">
        <v>5</v>
      </c>
      <c r="N20" t="s">
        <v>29</v>
      </c>
      <c r="O20" t="s">
        <v>30</v>
      </c>
    </row>
    <row r="21" spans="1:15" x14ac:dyDescent="0.35">
      <c r="A21">
        <v>20</v>
      </c>
      <c r="B21" t="s">
        <v>31</v>
      </c>
      <c r="C21">
        <v>17</v>
      </c>
      <c r="D21" s="1" t="s">
        <v>15</v>
      </c>
      <c r="E21" s="1" t="s">
        <v>81</v>
      </c>
      <c r="F21">
        <v>3.4</v>
      </c>
      <c r="G21" s="1" t="s">
        <v>16</v>
      </c>
      <c r="H21" s="1" t="s">
        <v>17</v>
      </c>
      <c r="I21" s="1" t="s">
        <v>17</v>
      </c>
      <c r="J21" t="s">
        <v>28</v>
      </c>
      <c r="K21">
        <v>71</v>
      </c>
      <c r="L21">
        <v>71</v>
      </c>
      <c r="M21">
        <v>4</v>
      </c>
      <c r="N21" t="s">
        <v>29</v>
      </c>
      <c r="O21" t="s">
        <v>30</v>
      </c>
    </row>
    <row r="22" spans="1:15" x14ac:dyDescent="0.35">
      <c r="A22">
        <v>21</v>
      </c>
      <c r="B22" t="s">
        <v>18</v>
      </c>
      <c r="C22">
        <v>18</v>
      </c>
      <c r="D22" s="1" t="s">
        <v>15</v>
      </c>
      <c r="E22" s="1" t="s">
        <v>82</v>
      </c>
      <c r="F22">
        <v>4.4000000000000004</v>
      </c>
      <c r="G22" s="1" t="s">
        <v>22</v>
      </c>
      <c r="H22" s="1" t="s">
        <v>23</v>
      </c>
      <c r="I22" s="1" t="s">
        <v>35</v>
      </c>
      <c r="J22" t="s">
        <v>34</v>
      </c>
      <c r="K22">
        <v>58</v>
      </c>
      <c r="L22">
        <v>73</v>
      </c>
      <c r="M22">
        <v>6</v>
      </c>
      <c r="N22" t="s">
        <v>26</v>
      </c>
      <c r="O22" t="s">
        <v>30</v>
      </c>
    </row>
    <row r="23" spans="1:15" x14ac:dyDescent="0.35">
      <c r="A23">
        <v>22</v>
      </c>
      <c r="B23" t="s">
        <v>31</v>
      </c>
      <c r="C23">
        <v>16</v>
      </c>
      <c r="D23" s="1" t="s">
        <v>21</v>
      </c>
      <c r="E23" s="1" t="s">
        <v>82</v>
      </c>
      <c r="F23">
        <v>4.0999999999999996</v>
      </c>
      <c r="G23" s="1" t="s">
        <v>16</v>
      </c>
      <c r="H23" s="1" t="s">
        <v>17</v>
      </c>
      <c r="I23" s="1" t="s">
        <v>17</v>
      </c>
      <c r="J23" t="s">
        <v>28</v>
      </c>
      <c r="K23">
        <v>58</v>
      </c>
      <c r="L23">
        <v>58</v>
      </c>
      <c r="M23">
        <v>4</v>
      </c>
      <c r="N23" t="s">
        <v>26</v>
      </c>
      <c r="O23" t="s">
        <v>26</v>
      </c>
    </row>
    <row r="24" spans="1:15" x14ac:dyDescent="0.35">
      <c r="A24">
        <v>23</v>
      </c>
      <c r="B24" t="s">
        <v>31</v>
      </c>
      <c r="C24">
        <v>17</v>
      </c>
      <c r="D24" s="1" t="s">
        <v>15</v>
      </c>
      <c r="E24" s="1" t="s">
        <v>80</v>
      </c>
      <c r="F24">
        <v>1.6</v>
      </c>
      <c r="G24" s="1" t="s">
        <v>22</v>
      </c>
      <c r="H24" s="1" t="s">
        <v>23</v>
      </c>
      <c r="I24" s="1" t="s">
        <v>35</v>
      </c>
      <c r="J24" t="s">
        <v>19</v>
      </c>
      <c r="K24">
        <v>63</v>
      </c>
      <c r="L24">
        <v>76</v>
      </c>
      <c r="M24">
        <v>3</v>
      </c>
      <c r="N24" t="s">
        <v>20</v>
      </c>
      <c r="O24" t="s">
        <v>30</v>
      </c>
    </row>
    <row r="25" spans="1:15" x14ac:dyDescent="0.35">
      <c r="A25">
        <v>24</v>
      </c>
      <c r="B25" t="s">
        <v>18</v>
      </c>
      <c r="C25">
        <v>18</v>
      </c>
      <c r="D25" s="1" t="s">
        <v>15</v>
      </c>
      <c r="E25" s="1" t="s">
        <v>82</v>
      </c>
      <c r="F25">
        <v>4.7</v>
      </c>
      <c r="G25" s="1" t="s">
        <v>16</v>
      </c>
      <c r="H25" s="1" t="s">
        <v>17</v>
      </c>
      <c r="I25" s="1" t="s">
        <v>17</v>
      </c>
      <c r="J25" t="s">
        <v>34</v>
      </c>
      <c r="K25">
        <v>75</v>
      </c>
      <c r="L25">
        <v>75</v>
      </c>
      <c r="M25">
        <v>6</v>
      </c>
      <c r="N25" t="s">
        <v>29</v>
      </c>
      <c r="O25" t="s">
        <v>30</v>
      </c>
    </row>
    <row r="26" spans="1:15" x14ac:dyDescent="0.35">
      <c r="A26">
        <v>25</v>
      </c>
      <c r="B26" t="s">
        <v>18</v>
      </c>
      <c r="C26">
        <v>18</v>
      </c>
      <c r="D26" s="1" t="s">
        <v>15</v>
      </c>
      <c r="E26" s="1" t="s">
        <v>80</v>
      </c>
      <c r="F26">
        <v>1.8</v>
      </c>
      <c r="G26" s="1" t="s">
        <v>16</v>
      </c>
      <c r="H26" s="1" t="s">
        <v>17</v>
      </c>
      <c r="I26" s="1" t="s">
        <v>17</v>
      </c>
      <c r="J26" t="s">
        <v>34</v>
      </c>
      <c r="K26">
        <v>60</v>
      </c>
      <c r="L26">
        <v>60</v>
      </c>
      <c r="M26">
        <v>6</v>
      </c>
      <c r="N26" t="s">
        <v>26</v>
      </c>
      <c r="O26" t="s">
        <v>26</v>
      </c>
    </row>
    <row r="27" spans="1:15" x14ac:dyDescent="0.35">
      <c r="A27">
        <v>26</v>
      </c>
      <c r="B27" t="s">
        <v>18</v>
      </c>
      <c r="C27">
        <v>18</v>
      </c>
      <c r="D27" s="1" t="s">
        <v>15</v>
      </c>
      <c r="E27" s="1" t="s">
        <v>82</v>
      </c>
      <c r="F27">
        <v>4.7</v>
      </c>
      <c r="G27" s="1" t="s">
        <v>16</v>
      </c>
      <c r="H27" s="1" t="s">
        <v>17</v>
      </c>
      <c r="I27" s="1" t="s">
        <v>17</v>
      </c>
      <c r="J27" t="s">
        <v>19</v>
      </c>
      <c r="K27">
        <v>70</v>
      </c>
      <c r="L27">
        <v>70</v>
      </c>
      <c r="M27">
        <v>2</v>
      </c>
      <c r="N27" t="s">
        <v>20</v>
      </c>
      <c r="O27" t="s">
        <v>20</v>
      </c>
    </row>
    <row r="28" spans="1:15" x14ac:dyDescent="0.35">
      <c r="A28">
        <v>27</v>
      </c>
      <c r="B28" t="s">
        <v>25</v>
      </c>
      <c r="C28">
        <v>14</v>
      </c>
      <c r="D28" s="1" t="s">
        <v>21</v>
      </c>
      <c r="E28" s="1" t="s">
        <v>82</v>
      </c>
      <c r="F28">
        <v>4.7</v>
      </c>
      <c r="G28" s="1" t="s">
        <v>16</v>
      </c>
      <c r="H28" s="1" t="s">
        <v>17</v>
      </c>
      <c r="I28" s="1" t="s">
        <v>17</v>
      </c>
      <c r="J28" t="s">
        <v>19</v>
      </c>
      <c r="K28">
        <v>62</v>
      </c>
      <c r="L28">
        <v>62</v>
      </c>
      <c r="M28">
        <v>2</v>
      </c>
      <c r="N28" t="s">
        <v>20</v>
      </c>
      <c r="O28" t="s">
        <v>20</v>
      </c>
    </row>
    <row r="29" spans="1:15" x14ac:dyDescent="0.35">
      <c r="A29">
        <v>28</v>
      </c>
      <c r="B29" t="s">
        <v>25</v>
      </c>
      <c r="C29">
        <v>15</v>
      </c>
      <c r="D29" s="1" t="s">
        <v>21</v>
      </c>
      <c r="E29" s="1" t="s">
        <v>82</v>
      </c>
      <c r="F29">
        <v>4.5</v>
      </c>
      <c r="G29" s="1" t="s">
        <v>22</v>
      </c>
      <c r="H29" s="1" t="s">
        <v>33</v>
      </c>
      <c r="I29" s="1" t="s">
        <v>35</v>
      </c>
      <c r="J29" t="s">
        <v>34</v>
      </c>
      <c r="K29">
        <v>70</v>
      </c>
      <c r="L29">
        <v>76</v>
      </c>
      <c r="M29">
        <v>6</v>
      </c>
      <c r="N29" t="s">
        <v>20</v>
      </c>
      <c r="O29" t="s">
        <v>30</v>
      </c>
    </row>
    <row r="30" spans="1:15" x14ac:dyDescent="0.35">
      <c r="A30">
        <v>29</v>
      </c>
      <c r="B30" t="s">
        <v>25</v>
      </c>
      <c r="C30">
        <v>15</v>
      </c>
      <c r="D30" s="1" t="s">
        <v>21</v>
      </c>
      <c r="E30" s="1" t="s">
        <v>80</v>
      </c>
      <c r="F30">
        <v>1.5</v>
      </c>
      <c r="G30" s="1" t="s">
        <v>16</v>
      </c>
      <c r="H30" s="1" t="s">
        <v>17</v>
      </c>
      <c r="I30" s="1" t="s">
        <v>17</v>
      </c>
      <c r="J30" t="s">
        <v>19</v>
      </c>
      <c r="K30">
        <v>72</v>
      </c>
      <c r="L30">
        <v>72</v>
      </c>
      <c r="M30">
        <v>3</v>
      </c>
      <c r="N30" t="s">
        <v>29</v>
      </c>
      <c r="O30" t="s">
        <v>30</v>
      </c>
    </row>
    <row r="31" spans="1:15" x14ac:dyDescent="0.35">
      <c r="A31">
        <v>30</v>
      </c>
      <c r="B31" t="s">
        <v>31</v>
      </c>
      <c r="C31">
        <v>16</v>
      </c>
      <c r="D31" s="1" t="s">
        <v>21</v>
      </c>
      <c r="E31" s="1" t="s">
        <v>81</v>
      </c>
      <c r="F31">
        <v>3.1</v>
      </c>
      <c r="G31" s="1" t="s">
        <v>16</v>
      </c>
      <c r="H31" s="1" t="s">
        <v>17</v>
      </c>
      <c r="I31" s="1" t="s">
        <v>17</v>
      </c>
      <c r="J31" t="s">
        <v>34</v>
      </c>
      <c r="K31">
        <v>61</v>
      </c>
      <c r="L31">
        <v>61</v>
      </c>
      <c r="M31">
        <v>6</v>
      </c>
      <c r="N31" t="s">
        <v>20</v>
      </c>
      <c r="O31" t="s">
        <v>20</v>
      </c>
    </row>
    <row r="32" spans="1:15" x14ac:dyDescent="0.35">
      <c r="A32">
        <v>31</v>
      </c>
      <c r="B32" t="s">
        <v>18</v>
      </c>
      <c r="C32">
        <v>19</v>
      </c>
      <c r="D32" s="1" t="s">
        <v>15</v>
      </c>
      <c r="E32" s="1" t="s">
        <v>81</v>
      </c>
      <c r="F32">
        <v>3.8</v>
      </c>
      <c r="G32" s="1" t="s">
        <v>16</v>
      </c>
      <c r="H32" s="1" t="s">
        <v>17</v>
      </c>
      <c r="I32" s="1" t="s">
        <v>17</v>
      </c>
      <c r="J32" t="s">
        <v>34</v>
      </c>
      <c r="K32">
        <v>67</v>
      </c>
      <c r="L32">
        <v>67</v>
      </c>
      <c r="M32">
        <v>7</v>
      </c>
      <c r="N32" t="s">
        <v>20</v>
      </c>
      <c r="O32" t="s">
        <v>20</v>
      </c>
    </row>
    <row r="33" spans="1:15" x14ac:dyDescent="0.35">
      <c r="A33">
        <v>32</v>
      </c>
      <c r="B33" t="s">
        <v>18</v>
      </c>
      <c r="C33">
        <v>19</v>
      </c>
      <c r="D33" s="1" t="s">
        <v>15</v>
      </c>
      <c r="E33" s="1" t="s">
        <v>81</v>
      </c>
      <c r="F33">
        <v>2.5</v>
      </c>
      <c r="G33" s="1" t="s">
        <v>16</v>
      </c>
      <c r="H33" s="1" t="s">
        <v>17</v>
      </c>
      <c r="I33" s="1" t="s">
        <v>17</v>
      </c>
      <c r="J33" t="s">
        <v>19</v>
      </c>
      <c r="K33">
        <v>58</v>
      </c>
      <c r="L33">
        <v>58</v>
      </c>
      <c r="M33">
        <v>3</v>
      </c>
      <c r="N33" t="s">
        <v>26</v>
      </c>
      <c r="O33" t="s">
        <v>26</v>
      </c>
    </row>
    <row r="34" spans="1:15" x14ac:dyDescent="0.35">
      <c r="A34">
        <v>33</v>
      </c>
      <c r="B34" t="s">
        <v>25</v>
      </c>
      <c r="C34">
        <v>15</v>
      </c>
      <c r="D34" s="1" t="s">
        <v>21</v>
      </c>
      <c r="E34" s="1" t="s">
        <v>80</v>
      </c>
      <c r="F34">
        <v>1.3</v>
      </c>
      <c r="G34" s="1" t="s">
        <v>22</v>
      </c>
      <c r="H34" s="1" t="s">
        <v>23</v>
      </c>
      <c r="I34" s="1" t="s">
        <v>35</v>
      </c>
      <c r="J34" t="s">
        <v>19</v>
      </c>
      <c r="K34">
        <v>62</v>
      </c>
      <c r="L34">
        <v>76</v>
      </c>
      <c r="M34">
        <v>3</v>
      </c>
      <c r="N34" t="s">
        <v>20</v>
      </c>
      <c r="O34" t="s">
        <v>30</v>
      </c>
    </row>
    <row r="35" spans="1:15" x14ac:dyDescent="0.35">
      <c r="A35">
        <v>34</v>
      </c>
      <c r="B35" t="s">
        <v>25</v>
      </c>
      <c r="C35">
        <v>14</v>
      </c>
      <c r="D35" s="1" t="s">
        <v>21</v>
      </c>
      <c r="E35" s="1" t="s">
        <v>80</v>
      </c>
      <c r="F35">
        <v>1.3</v>
      </c>
      <c r="G35" s="1" t="s">
        <v>22</v>
      </c>
      <c r="H35" s="1" t="s">
        <v>33</v>
      </c>
      <c r="I35" s="1" t="s">
        <v>27</v>
      </c>
      <c r="J35" t="s">
        <v>19</v>
      </c>
      <c r="K35">
        <v>56</v>
      </c>
      <c r="L35">
        <v>66</v>
      </c>
      <c r="M35">
        <v>2</v>
      </c>
      <c r="N35" t="s">
        <v>26</v>
      </c>
      <c r="O35" t="s">
        <v>20</v>
      </c>
    </row>
    <row r="36" spans="1:15" x14ac:dyDescent="0.35">
      <c r="A36">
        <v>35</v>
      </c>
      <c r="B36" t="s">
        <v>18</v>
      </c>
      <c r="C36">
        <v>18</v>
      </c>
      <c r="D36" s="1" t="s">
        <v>15</v>
      </c>
      <c r="E36" s="1" t="s">
        <v>80</v>
      </c>
      <c r="F36">
        <v>2</v>
      </c>
      <c r="G36" s="1" t="s">
        <v>16</v>
      </c>
      <c r="H36" s="1" t="s">
        <v>17</v>
      </c>
      <c r="I36" s="1" t="s">
        <v>17</v>
      </c>
      <c r="J36" t="s">
        <v>34</v>
      </c>
      <c r="K36">
        <v>61</v>
      </c>
      <c r="L36">
        <v>61</v>
      </c>
      <c r="M36">
        <v>6</v>
      </c>
      <c r="N36" t="s">
        <v>20</v>
      </c>
      <c r="O36" t="s">
        <v>20</v>
      </c>
    </row>
    <row r="37" spans="1:15" x14ac:dyDescent="0.35">
      <c r="A37">
        <v>36</v>
      </c>
      <c r="B37" t="s">
        <v>25</v>
      </c>
      <c r="C37">
        <v>15</v>
      </c>
      <c r="D37" s="1" t="s">
        <v>21</v>
      </c>
      <c r="E37" s="1" t="s">
        <v>81</v>
      </c>
      <c r="F37">
        <v>3.9</v>
      </c>
      <c r="G37" s="1" t="s">
        <v>16</v>
      </c>
      <c r="H37" s="1" t="s">
        <v>17</v>
      </c>
      <c r="I37" s="1" t="s">
        <v>17</v>
      </c>
      <c r="J37" t="s">
        <v>28</v>
      </c>
      <c r="K37">
        <v>62</v>
      </c>
      <c r="L37">
        <v>62</v>
      </c>
      <c r="M37">
        <v>5</v>
      </c>
      <c r="N37" t="s">
        <v>20</v>
      </c>
      <c r="O37" t="s">
        <v>20</v>
      </c>
    </row>
    <row r="38" spans="1:15" x14ac:dyDescent="0.35">
      <c r="A38">
        <v>37</v>
      </c>
      <c r="B38" t="s">
        <v>31</v>
      </c>
      <c r="C38">
        <v>17</v>
      </c>
      <c r="D38" s="1" t="s">
        <v>15</v>
      </c>
      <c r="E38" s="1" t="s">
        <v>80</v>
      </c>
      <c r="F38">
        <v>1.8</v>
      </c>
      <c r="G38" s="1" t="s">
        <v>22</v>
      </c>
      <c r="H38" s="1" t="s">
        <v>23</v>
      </c>
      <c r="I38" s="1" t="s">
        <v>24</v>
      </c>
      <c r="J38" t="s">
        <v>28</v>
      </c>
      <c r="K38">
        <v>66</v>
      </c>
      <c r="L38">
        <v>77</v>
      </c>
      <c r="M38">
        <v>5</v>
      </c>
      <c r="N38" t="s">
        <v>20</v>
      </c>
      <c r="O38" t="s">
        <v>30</v>
      </c>
    </row>
    <row r="39" spans="1:15" x14ac:dyDescent="0.35">
      <c r="A39">
        <v>38</v>
      </c>
      <c r="B39" t="s">
        <v>31</v>
      </c>
      <c r="C39">
        <v>17</v>
      </c>
      <c r="D39" s="1" t="s">
        <v>15</v>
      </c>
      <c r="E39" s="1" t="s">
        <v>82</v>
      </c>
      <c r="F39">
        <v>4.5</v>
      </c>
      <c r="G39" s="1" t="s">
        <v>22</v>
      </c>
      <c r="H39" s="1" t="s">
        <v>23</v>
      </c>
      <c r="I39" s="1" t="s">
        <v>35</v>
      </c>
      <c r="J39" t="s">
        <v>19</v>
      </c>
      <c r="K39">
        <v>75</v>
      </c>
      <c r="L39">
        <v>81</v>
      </c>
      <c r="M39">
        <v>2</v>
      </c>
      <c r="N39" t="s">
        <v>29</v>
      </c>
      <c r="O39" t="s">
        <v>30</v>
      </c>
    </row>
    <row r="40" spans="1:15" x14ac:dyDescent="0.35">
      <c r="A40">
        <v>39</v>
      </c>
      <c r="B40" t="s">
        <v>31</v>
      </c>
      <c r="C40">
        <v>17</v>
      </c>
      <c r="D40" s="1" t="s">
        <v>15</v>
      </c>
      <c r="E40" s="1" t="s">
        <v>81</v>
      </c>
      <c r="F40">
        <v>3.9</v>
      </c>
      <c r="G40" s="1" t="s">
        <v>22</v>
      </c>
      <c r="H40" s="1" t="s">
        <v>33</v>
      </c>
      <c r="I40" s="1" t="s">
        <v>27</v>
      </c>
      <c r="J40" t="s">
        <v>28</v>
      </c>
      <c r="K40">
        <v>61</v>
      </c>
      <c r="L40">
        <v>74</v>
      </c>
      <c r="M40">
        <v>5</v>
      </c>
      <c r="N40" t="s">
        <v>20</v>
      </c>
      <c r="O40" t="s">
        <v>30</v>
      </c>
    </row>
    <row r="41" spans="1:15" x14ac:dyDescent="0.35">
      <c r="A41">
        <v>40</v>
      </c>
      <c r="B41" t="s">
        <v>25</v>
      </c>
      <c r="C41">
        <v>15</v>
      </c>
      <c r="D41" s="1" t="s">
        <v>21</v>
      </c>
      <c r="E41" s="1" t="s">
        <v>81</v>
      </c>
      <c r="F41">
        <v>2.7</v>
      </c>
      <c r="G41" s="1" t="s">
        <v>16</v>
      </c>
      <c r="H41" s="1" t="s">
        <v>17</v>
      </c>
      <c r="I41" s="1" t="s">
        <v>17</v>
      </c>
      <c r="J41" t="s">
        <v>19</v>
      </c>
      <c r="K41">
        <v>69</v>
      </c>
      <c r="L41">
        <v>69</v>
      </c>
      <c r="M41">
        <v>3</v>
      </c>
      <c r="N41" t="s">
        <v>20</v>
      </c>
      <c r="O41" t="s">
        <v>20</v>
      </c>
    </row>
    <row r="42" spans="1:15" x14ac:dyDescent="0.35">
      <c r="A42">
        <v>41</v>
      </c>
      <c r="B42" t="s">
        <v>25</v>
      </c>
      <c r="C42">
        <v>14</v>
      </c>
      <c r="D42" s="1" t="s">
        <v>21</v>
      </c>
      <c r="E42" s="1" t="s">
        <v>81</v>
      </c>
      <c r="F42">
        <v>2.8</v>
      </c>
      <c r="G42" s="1" t="s">
        <v>22</v>
      </c>
      <c r="H42" s="1" t="s">
        <v>33</v>
      </c>
      <c r="I42" s="1" t="s">
        <v>35</v>
      </c>
      <c r="J42" t="s">
        <v>19</v>
      </c>
      <c r="K42">
        <v>72</v>
      </c>
      <c r="L42">
        <v>77</v>
      </c>
      <c r="M42">
        <v>2</v>
      </c>
      <c r="N42" t="s">
        <v>29</v>
      </c>
      <c r="O42" t="s">
        <v>30</v>
      </c>
    </row>
    <row r="43" spans="1:15" x14ac:dyDescent="0.35">
      <c r="A43">
        <v>42</v>
      </c>
      <c r="B43" t="s">
        <v>25</v>
      </c>
      <c r="C43">
        <v>15</v>
      </c>
      <c r="D43" s="1" t="s">
        <v>21</v>
      </c>
      <c r="E43" s="1" t="s">
        <v>80</v>
      </c>
      <c r="F43">
        <v>1.7</v>
      </c>
      <c r="G43" s="1" t="s">
        <v>16</v>
      </c>
      <c r="H43" s="1" t="s">
        <v>17</v>
      </c>
      <c r="I43" s="1" t="s">
        <v>17</v>
      </c>
      <c r="J43" t="s">
        <v>19</v>
      </c>
      <c r="K43">
        <v>70</v>
      </c>
      <c r="L43">
        <v>70</v>
      </c>
      <c r="M43">
        <v>3</v>
      </c>
      <c r="N43" t="s">
        <v>20</v>
      </c>
      <c r="O43" t="s">
        <v>20</v>
      </c>
    </row>
    <row r="44" spans="1:15" x14ac:dyDescent="0.35">
      <c r="A44">
        <v>43</v>
      </c>
      <c r="B44" t="s">
        <v>31</v>
      </c>
      <c r="C44">
        <v>17</v>
      </c>
      <c r="D44" s="1" t="s">
        <v>15</v>
      </c>
      <c r="E44" s="1" t="s">
        <v>82</v>
      </c>
      <c r="F44">
        <v>4.5999999999999996</v>
      </c>
      <c r="G44" s="1" t="s">
        <v>22</v>
      </c>
      <c r="H44" s="1" t="s">
        <v>32</v>
      </c>
      <c r="I44" s="1" t="s">
        <v>27</v>
      </c>
      <c r="J44" t="s">
        <v>28</v>
      </c>
      <c r="K44">
        <v>67</v>
      </c>
      <c r="L44">
        <v>76</v>
      </c>
      <c r="M44">
        <v>5</v>
      </c>
      <c r="N44" t="s">
        <v>20</v>
      </c>
      <c r="O44" t="s">
        <v>30</v>
      </c>
    </row>
    <row r="45" spans="1:15" x14ac:dyDescent="0.35">
      <c r="A45">
        <v>44</v>
      </c>
      <c r="B45" t="s">
        <v>31</v>
      </c>
      <c r="C45">
        <v>16</v>
      </c>
      <c r="D45" s="1" t="s">
        <v>21</v>
      </c>
      <c r="E45" s="1" t="s">
        <v>81</v>
      </c>
      <c r="F45">
        <v>2.7</v>
      </c>
      <c r="G45" s="1" t="s">
        <v>16</v>
      </c>
      <c r="H45" s="1" t="s">
        <v>17</v>
      </c>
      <c r="I45" s="1" t="s">
        <v>17</v>
      </c>
      <c r="J45" t="s">
        <v>19</v>
      </c>
      <c r="K45">
        <v>59</v>
      </c>
      <c r="L45">
        <v>59</v>
      </c>
      <c r="M45">
        <v>3</v>
      </c>
      <c r="N45" t="s">
        <v>26</v>
      </c>
      <c r="O45" t="s">
        <v>26</v>
      </c>
    </row>
    <row r="46" spans="1:15" x14ac:dyDescent="0.35">
      <c r="A46">
        <v>45</v>
      </c>
      <c r="B46" t="s">
        <v>31</v>
      </c>
      <c r="C46">
        <v>16</v>
      </c>
      <c r="D46" s="1" t="s">
        <v>21</v>
      </c>
      <c r="E46" s="1" t="s">
        <v>80</v>
      </c>
      <c r="F46">
        <v>1.9</v>
      </c>
      <c r="G46" s="1" t="s">
        <v>22</v>
      </c>
      <c r="H46" s="1" t="s">
        <v>23</v>
      </c>
      <c r="I46" s="1" t="s">
        <v>35</v>
      </c>
      <c r="J46" t="s">
        <v>34</v>
      </c>
      <c r="K46">
        <v>72</v>
      </c>
      <c r="L46">
        <v>77</v>
      </c>
      <c r="M46">
        <v>7</v>
      </c>
      <c r="N46" t="s">
        <v>29</v>
      </c>
      <c r="O46" t="s">
        <v>30</v>
      </c>
    </row>
    <row r="47" spans="1:15" x14ac:dyDescent="0.35">
      <c r="A47">
        <v>46</v>
      </c>
      <c r="B47" t="s">
        <v>31</v>
      </c>
      <c r="C47">
        <v>16</v>
      </c>
      <c r="D47" s="1" t="s">
        <v>21</v>
      </c>
      <c r="E47" s="1" t="s">
        <v>80</v>
      </c>
      <c r="F47">
        <v>1.2</v>
      </c>
      <c r="G47" s="1" t="s">
        <v>16</v>
      </c>
      <c r="H47" s="1" t="s">
        <v>17</v>
      </c>
      <c r="I47" s="1" t="s">
        <v>17</v>
      </c>
      <c r="J47" t="s">
        <v>34</v>
      </c>
      <c r="K47">
        <v>71</v>
      </c>
      <c r="L47">
        <v>71</v>
      </c>
      <c r="M47">
        <v>6</v>
      </c>
      <c r="N47" t="s">
        <v>29</v>
      </c>
      <c r="O47" t="s">
        <v>30</v>
      </c>
    </row>
    <row r="48" spans="1:15" x14ac:dyDescent="0.35">
      <c r="A48">
        <v>47</v>
      </c>
      <c r="B48" t="s">
        <v>25</v>
      </c>
      <c r="C48">
        <v>15</v>
      </c>
      <c r="D48" s="1" t="s">
        <v>21</v>
      </c>
      <c r="E48" s="1" t="s">
        <v>80</v>
      </c>
      <c r="F48">
        <v>1.2</v>
      </c>
      <c r="G48" s="1" t="s">
        <v>22</v>
      </c>
      <c r="H48" s="1" t="s">
        <v>33</v>
      </c>
      <c r="I48" s="1" t="s">
        <v>27</v>
      </c>
      <c r="J48" t="s">
        <v>34</v>
      </c>
      <c r="K48">
        <v>74</v>
      </c>
      <c r="L48">
        <v>80</v>
      </c>
      <c r="M48">
        <v>7</v>
      </c>
      <c r="N48" t="s">
        <v>29</v>
      </c>
      <c r="O48" t="s">
        <v>30</v>
      </c>
    </row>
    <row r="49" spans="1:15" x14ac:dyDescent="0.35">
      <c r="A49">
        <v>48</v>
      </c>
      <c r="B49" t="s">
        <v>25</v>
      </c>
      <c r="C49">
        <v>15</v>
      </c>
      <c r="D49" s="1" t="s">
        <v>21</v>
      </c>
      <c r="E49" s="1" t="s">
        <v>81</v>
      </c>
      <c r="F49">
        <v>2.6</v>
      </c>
      <c r="G49" s="1" t="s">
        <v>22</v>
      </c>
      <c r="H49" s="1" t="s">
        <v>23</v>
      </c>
      <c r="I49" s="1" t="s">
        <v>35</v>
      </c>
      <c r="J49" t="s">
        <v>19</v>
      </c>
      <c r="K49">
        <v>56</v>
      </c>
      <c r="L49">
        <v>70</v>
      </c>
      <c r="M49">
        <v>2</v>
      </c>
      <c r="N49" t="s">
        <v>26</v>
      </c>
      <c r="O49" t="s">
        <v>20</v>
      </c>
    </row>
    <row r="50" spans="1:15" x14ac:dyDescent="0.35">
      <c r="A50">
        <v>49</v>
      </c>
      <c r="B50" t="s">
        <v>31</v>
      </c>
      <c r="C50">
        <v>17</v>
      </c>
      <c r="D50" s="1" t="s">
        <v>15</v>
      </c>
      <c r="E50" s="1" t="s">
        <v>81</v>
      </c>
      <c r="F50">
        <v>3.6</v>
      </c>
      <c r="G50" s="1" t="s">
        <v>16</v>
      </c>
      <c r="H50" s="1" t="s">
        <v>17</v>
      </c>
      <c r="I50" s="1" t="s">
        <v>17</v>
      </c>
      <c r="J50" t="s">
        <v>19</v>
      </c>
      <c r="K50">
        <v>63</v>
      </c>
      <c r="L50">
        <v>63</v>
      </c>
      <c r="M50">
        <v>3</v>
      </c>
      <c r="N50" t="s">
        <v>20</v>
      </c>
      <c r="O50" t="s">
        <v>20</v>
      </c>
    </row>
    <row r="51" spans="1:15" x14ac:dyDescent="0.35">
      <c r="A51">
        <v>50</v>
      </c>
      <c r="B51" t="s">
        <v>18</v>
      </c>
      <c r="C51">
        <v>19</v>
      </c>
      <c r="D51" s="1" t="s">
        <v>15</v>
      </c>
      <c r="E51" s="1" t="s">
        <v>81</v>
      </c>
      <c r="F51">
        <v>3.9</v>
      </c>
      <c r="G51" s="1" t="s">
        <v>22</v>
      </c>
      <c r="H51" s="1" t="s">
        <v>32</v>
      </c>
      <c r="I51" s="1" t="s">
        <v>24</v>
      </c>
      <c r="J51" t="s">
        <v>34</v>
      </c>
      <c r="K51">
        <v>59</v>
      </c>
      <c r="L51">
        <v>74</v>
      </c>
      <c r="M51">
        <v>7</v>
      </c>
      <c r="N51" t="s">
        <v>26</v>
      </c>
      <c r="O51" t="s">
        <v>30</v>
      </c>
    </row>
    <row r="52" spans="1:15" x14ac:dyDescent="0.35">
      <c r="A52">
        <v>51</v>
      </c>
      <c r="B52" t="s">
        <v>31</v>
      </c>
      <c r="C52">
        <v>16</v>
      </c>
      <c r="D52" s="1" t="s">
        <v>21</v>
      </c>
      <c r="E52" s="1" t="s">
        <v>81</v>
      </c>
      <c r="F52">
        <v>2.8</v>
      </c>
      <c r="G52" s="1" t="s">
        <v>22</v>
      </c>
      <c r="H52" s="1" t="s">
        <v>33</v>
      </c>
      <c r="I52" s="1" t="s">
        <v>24</v>
      </c>
      <c r="J52" t="s">
        <v>19</v>
      </c>
      <c r="K52">
        <v>74</v>
      </c>
      <c r="L52">
        <v>88</v>
      </c>
      <c r="M52">
        <v>2</v>
      </c>
      <c r="N52" t="s">
        <v>29</v>
      </c>
      <c r="O52" t="s">
        <v>30</v>
      </c>
    </row>
    <row r="53" spans="1:15" x14ac:dyDescent="0.35">
      <c r="A53">
        <v>52</v>
      </c>
      <c r="B53" t="s">
        <v>25</v>
      </c>
      <c r="C53">
        <v>14</v>
      </c>
      <c r="D53" s="1" t="s">
        <v>21</v>
      </c>
      <c r="E53" s="1" t="s">
        <v>81</v>
      </c>
      <c r="F53">
        <v>3.2</v>
      </c>
      <c r="G53" s="1" t="s">
        <v>16</v>
      </c>
      <c r="H53" s="1" t="s">
        <v>17</v>
      </c>
      <c r="I53" s="1" t="s">
        <v>17</v>
      </c>
      <c r="J53" t="s">
        <v>28</v>
      </c>
      <c r="K53">
        <v>59</v>
      </c>
      <c r="L53">
        <v>59</v>
      </c>
      <c r="M53">
        <v>4</v>
      </c>
      <c r="N53" t="s">
        <v>26</v>
      </c>
      <c r="O53" t="s">
        <v>26</v>
      </c>
    </row>
    <row r="54" spans="1:15" x14ac:dyDescent="0.35">
      <c r="A54">
        <v>53</v>
      </c>
      <c r="B54" t="s">
        <v>25</v>
      </c>
      <c r="C54">
        <v>14</v>
      </c>
      <c r="D54" s="1" t="s">
        <v>21</v>
      </c>
      <c r="E54" s="1" t="s">
        <v>82</v>
      </c>
      <c r="F54">
        <v>4.5</v>
      </c>
      <c r="G54" s="1" t="s">
        <v>16</v>
      </c>
      <c r="H54" s="1" t="s">
        <v>17</v>
      </c>
      <c r="I54" s="1" t="s">
        <v>17</v>
      </c>
      <c r="J54" t="s">
        <v>19</v>
      </c>
      <c r="K54">
        <v>64</v>
      </c>
      <c r="L54">
        <v>64</v>
      </c>
      <c r="M54">
        <v>3</v>
      </c>
      <c r="N54" t="s">
        <v>20</v>
      </c>
      <c r="O54" t="s">
        <v>20</v>
      </c>
    </row>
    <row r="55" spans="1:15" x14ac:dyDescent="0.35">
      <c r="A55">
        <v>54</v>
      </c>
      <c r="B55" t="s">
        <v>31</v>
      </c>
      <c r="C55">
        <v>17</v>
      </c>
      <c r="D55" s="1" t="s">
        <v>15</v>
      </c>
      <c r="E55" s="1" t="s">
        <v>82</v>
      </c>
      <c r="F55">
        <v>4.3</v>
      </c>
      <c r="G55" s="1" t="s">
        <v>16</v>
      </c>
      <c r="H55" s="1" t="s">
        <v>17</v>
      </c>
      <c r="I55" s="1" t="s">
        <v>17</v>
      </c>
      <c r="J55" t="s">
        <v>34</v>
      </c>
      <c r="K55">
        <v>74</v>
      </c>
      <c r="L55">
        <v>74</v>
      </c>
      <c r="M55">
        <v>7</v>
      </c>
      <c r="N55" t="s">
        <v>29</v>
      </c>
      <c r="O55" t="s">
        <v>30</v>
      </c>
    </row>
    <row r="56" spans="1:15" x14ac:dyDescent="0.35">
      <c r="A56">
        <v>55</v>
      </c>
      <c r="B56" t="s">
        <v>18</v>
      </c>
      <c r="C56">
        <v>18</v>
      </c>
      <c r="D56" s="1" t="s">
        <v>15</v>
      </c>
      <c r="E56" s="1" t="s">
        <v>80</v>
      </c>
      <c r="F56">
        <v>1</v>
      </c>
      <c r="G56" s="1" t="s">
        <v>16</v>
      </c>
      <c r="H56" s="1" t="s">
        <v>17</v>
      </c>
      <c r="I56" s="1" t="s">
        <v>17</v>
      </c>
      <c r="J56" t="s">
        <v>19</v>
      </c>
      <c r="K56">
        <v>58</v>
      </c>
      <c r="L56">
        <v>58</v>
      </c>
      <c r="M56">
        <v>3</v>
      </c>
      <c r="N56" t="s">
        <v>26</v>
      </c>
      <c r="O56" t="s">
        <v>26</v>
      </c>
    </row>
    <row r="57" spans="1:15" x14ac:dyDescent="0.35">
      <c r="A57">
        <v>56</v>
      </c>
      <c r="B57" t="s">
        <v>31</v>
      </c>
      <c r="C57">
        <v>16</v>
      </c>
      <c r="D57" s="1" t="s">
        <v>21</v>
      </c>
      <c r="E57" s="1" t="s">
        <v>80</v>
      </c>
      <c r="F57">
        <v>1.5</v>
      </c>
      <c r="G57" s="1" t="s">
        <v>22</v>
      </c>
      <c r="H57" s="1" t="s">
        <v>23</v>
      </c>
      <c r="I57" s="1" t="s">
        <v>35</v>
      </c>
      <c r="J57" t="s">
        <v>28</v>
      </c>
      <c r="K57">
        <v>59</v>
      </c>
      <c r="L57">
        <v>68</v>
      </c>
      <c r="M57">
        <v>4</v>
      </c>
      <c r="N57" t="s">
        <v>26</v>
      </c>
      <c r="O57" t="s">
        <v>20</v>
      </c>
    </row>
    <row r="58" spans="1:15" x14ac:dyDescent="0.35">
      <c r="A58">
        <v>57</v>
      </c>
      <c r="B58" t="s">
        <v>18</v>
      </c>
      <c r="C58">
        <v>18</v>
      </c>
      <c r="D58" s="1" t="s">
        <v>15</v>
      </c>
      <c r="E58" s="1" t="s">
        <v>80</v>
      </c>
      <c r="F58">
        <v>1.8</v>
      </c>
      <c r="G58" s="1" t="s">
        <v>16</v>
      </c>
      <c r="H58" s="1" t="s">
        <v>17</v>
      </c>
      <c r="I58" s="1" t="s">
        <v>17</v>
      </c>
      <c r="J58" t="s">
        <v>34</v>
      </c>
      <c r="K58">
        <v>61</v>
      </c>
      <c r="L58">
        <v>61</v>
      </c>
      <c r="M58">
        <v>7</v>
      </c>
      <c r="N58" t="s">
        <v>20</v>
      </c>
      <c r="O58" t="s">
        <v>20</v>
      </c>
    </row>
    <row r="59" spans="1:15" x14ac:dyDescent="0.35">
      <c r="A59">
        <v>58</v>
      </c>
      <c r="B59" t="s">
        <v>18</v>
      </c>
      <c r="C59">
        <v>19</v>
      </c>
      <c r="D59" s="1" t="s">
        <v>15</v>
      </c>
      <c r="E59" s="1" t="s">
        <v>82</v>
      </c>
      <c r="F59">
        <v>4.4000000000000004</v>
      </c>
      <c r="G59" s="1" t="s">
        <v>16</v>
      </c>
      <c r="H59" s="1" t="s">
        <v>17</v>
      </c>
      <c r="I59" s="1" t="s">
        <v>17</v>
      </c>
      <c r="J59" t="s">
        <v>19</v>
      </c>
      <c r="K59">
        <v>63</v>
      </c>
      <c r="L59">
        <v>63</v>
      </c>
      <c r="M59">
        <v>2</v>
      </c>
      <c r="N59" t="s">
        <v>20</v>
      </c>
      <c r="O59" t="s">
        <v>20</v>
      </c>
    </row>
    <row r="60" spans="1:15" x14ac:dyDescent="0.35">
      <c r="A60">
        <v>59</v>
      </c>
      <c r="B60" t="s">
        <v>25</v>
      </c>
      <c r="C60">
        <v>14</v>
      </c>
      <c r="D60" s="1" t="s">
        <v>21</v>
      </c>
      <c r="E60" s="1" t="s">
        <v>81</v>
      </c>
      <c r="F60">
        <v>3.5</v>
      </c>
      <c r="G60" s="1" t="s">
        <v>16</v>
      </c>
      <c r="H60" s="1" t="s">
        <v>17</v>
      </c>
      <c r="I60" s="1" t="s">
        <v>17</v>
      </c>
      <c r="J60" t="s">
        <v>19</v>
      </c>
      <c r="K60">
        <v>56</v>
      </c>
      <c r="L60">
        <v>56</v>
      </c>
      <c r="M60">
        <v>2</v>
      </c>
      <c r="N60" t="s">
        <v>26</v>
      </c>
      <c r="O60" t="s">
        <v>26</v>
      </c>
    </row>
    <row r="61" spans="1:15" x14ac:dyDescent="0.35">
      <c r="A61">
        <v>60</v>
      </c>
      <c r="B61" t="s">
        <v>31</v>
      </c>
      <c r="C61">
        <v>16</v>
      </c>
      <c r="D61" s="1" t="s">
        <v>21</v>
      </c>
      <c r="E61" s="1" t="s">
        <v>82</v>
      </c>
      <c r="F61">
        <v>4.0999999999999996</v>
      </c>
      <c r="G61" s="1" t="s">
        <v>16</v>
      </c>
      <c r="H61" s="1" t="s">
        <v>17</v>
      </c>
      <c r="I61" s="1" t="s">
        <v>17</v>
      </c>
      <c r="J61" t="s">
        <v>34</v>
      </c>
      <c r="K61">
        <v>60</v>
      </c>
      <c r="L61">
        <v>60</v>
      </c>
      <c r="M61">
        <v>7</v>
      </c>
      <c r="N61" t="s">
        <v>26</v>
      </c>
      <c r="O61" t="s">
        <v>26</v>
      </c>
    </row>
    <row r="62" spans="1:15" x14ac:dyDescent="0.35">
      <c r="A62">
        <v>61</v>
      </c>
      <c r="B62" t="s">
        <v>31</v>
      </c>
      <c r="C62">
        <v>17</v>
      </c>
      <c r="D62" s="1" t="s">
        <v>15</v>
      </c>
      <c r="E62" s="1" t="s">
        <v>81</v>
      </c>
      <c r="F62">
        <v>3.2</v>
      </c>
      <c r="G62" s="1" t="s">
        <v>16</v>
      </c>
      <c r="H62" s="1" t="s">
        <v>17</v>
      </c>
      <c r="I62" s="1" t="s">
        <v>17</v>
      </c>
      <c r="J62" t="s">
        <v>19</v>
      </c>
      <c r="K62">
        <v>72</v>
      </c>
      <c r="L62">
        <v>72</v>
      </c>
      <c r="M62">
        <v>2</v>
      </c>
      <c r="N62" t="s">
        <v>29</v>
      </c>
      <c r="O62" t="s">
        <v>30</v>
      </c>
    </row>
    <row r="63" spans="1:15" x14ac:dyDescent="0.35">
      <c r="A63">
        <v>62</v>
      </c>
      <c r="B63" t="s">
        <v>25</v>
      </c>
      <c r="C63">
        <v>14</v>
      </c>
      <c r="D63" s="1" t="s">
        <v>21</v>
      </c>
      <c r="E63" s="1" t="s">
        <v>80</v>
      </c>
      <c r="F63">
        <v>1.3</v>
      </c>
      <c r="G63" s="1" t="s">
        <v>22</v>
      </c>
      <c r="H63" s="1" t="s">
        <v>23</v>
      </c>
      <c r="I63" s="1" t="s">
        <v>27</v>
      </c>
      <c r="J63" t="s">
        <v>34</v>
      </c>
      <c r="K63">
        <v>66</v>
      </c>
      <c r="L63">
        <v>80</v>
      </c>
      <c r="M63">
        <v>6</v>
      </c>
      <c r="N63" t="s">
        <v>20</v>
      </c>
      <c r="O63" t="s">
        <v>30</v>
      </c>
    </row>
    <row r="64" spans="1:15" x14ac:dyDescent="0.35">
      <c r="A64">
        <v>63</v>
      </c>
      <c r="B64" t="s">
        <v>25</v>
      </c>
      <c r="C64">
        <v>15</v>
      </c>
      <c r="D64" s="1" t="s">
        <v>21</v>
      </c>
      <c r="E64" s="1" t="s">
        <v>81</v>
      </c>
      <c r="F64">
        <v>2.7</v>
      </c>
      <c r="G64" s="1" t="s">
        <v>22</v>
      </c>
      <c r="H64" s="1" t="s">
        <v>32</v>
      </c>
      <c r="I64" s="1" t="s">
        <v>24</v>
      </c>
      <c r="J64" t="s">
        <v>19</v>
      </c>
      <c r="K64">
        <v>56</v>
      </c>
      <c r="L64">
        <v>66</v>
      </c>
      <c r="M64">
        <v>3</v>
      </c>
      <c r="N64" t="s">
        <v>26</v>
      </c>
      <c r="O64" t="s">
        <v>20</v>
      </c>
    </row>
    <row r="65" spans="1:15" x14ac:dyDescent="0.35">
      <c r="A65">
        <v>64</v>
      </c>
      <c r="B65" t="s">
        <v>18</v>
      </c>
      <c r="C65">
        <v>19</v>
      </c>
      <c r="D65" s="1" t="s">
        <v>15</v>
      </c>
      <c r="E65" s="1" t="s">
        <v>80</v>
      </c>
      <c r="F65">
        <v>2</v>
      </c>
      <c r="G65" s="1" t="s">
        <v>22</v>
      </c>
      <c r="H65" s="1" t="s">
        <v>32</v>
      </c>
      <c r="I65" s="1" t="s">
        <v>35</v>
      </c>
      <c r="J65" t="s">
        <v>34</v>
      </c>
      <c r="K65">
        <v>68</v>
      </c>
      <c r="L65">
        <v>82</v>
      </c>
      <c r="M65">
        <v>7</v>
      </c>
      <c r="N65" t="s">
        <v>20</v>
      </c>
      <c r="O65" t="s">
        <v>30</v>
      </c>
    </row>
    <row r="66" spans="1:15" x14ac:dyDescent="0.35">
      <c r="A66">
        <v>65</v>
      </c>
      <c r="B66" t="s">
        <v>25</v>
      </c>
      <c r="C66">
        <v>15</v>
      </c>
      <c r="D66" s="1" t="s">
        <v>21</v>
      </c>
      <c r="E66" s="1" t="s">
        <v>82</v>
      </c>
      <c r="F66">
        <v>4.7</v>
      </c>
      <c r="G66" s="1" t="s">
        <v>22</v>
      </c>
      <c r="H66" s="1" t="s">
        <v>33</v>
      </c>
      <c r="I66" s="1" t="s">
        <v>27</v>
      </c>
      <c r="J66" t="s">
        <v>19</v>
      </c>
      <c r="K66">
        <v>68</v>
      </c>
      <c r="L66">
        <v>73</v>
      </c>
      <c r="M66">
        <v>3</v>
      </c>
      <c r="N66" t="s">
        <v>20</v>
      </c>
      <c r="O66" t="s">
        <v>30</v>
      </c>
    </row>
    <row r="67" spans="1:15" x14ac:dyDescent="0.35">
      <c r="A67">
        <v>66</v>
      </c>
      <c r="B67" t="s">
        <v>18</v>
      </c>
      <c r="C67">
        <v>19</v>
      </c>
      <c r="D67" s="1" t="s">
        <v>15</v>
      </c>
      <c r="E67" s="1" t="s">
        <v>82</v>
      </c>
      <c r="F67">
        <v>4.7</v>
      </c>
      <c r="G67" s="1" t="s">
        <v>16</v>
      </c>
      <c r="H67" s="1" t="s">
        <v>17</v>
      </c>
      <c r="I67" s="1" t="s">
        <v>17</v>
      </c>
      <c r="J67" t="s">
        <v>28</v>
      </c>
      <c r="K67">
        <v>62</v>
      </c>
      <c r="L67">
        <v>62</v>
      </c>
      <c r="M67">
        <v>4</v>
      </c>
      <c r="N67" t="s">
        <v>20</v>
      </c>
      <c r="O67" t="s">
        <v>20</v>
      </c>
    </row>
    <row r="68" spans="1:15" x14ac:dyDescent="0.35">
      <c r="A68">
        <v>67</v>
      </c>
      <c r="B68" t="s">
        <v>25</v>
      </c>
      <c r="C68">
        <v>15</v>
      </c>
      <c r="D68" s="1" t="s">
        <v>21</v>
      </c>
      <c r="E68" s="1" t="s">
        <v>82</v>
      </c>
      <c r="F68">
        <v>4.0999999999999996</v>
      </c>
      <c r="G68" s="1" t="s">
        <v>22</v>
      </c>
      <c r="H68" s="1" t="s">
        <v>32</v>
      </c>
      <c r="I68" s="1" t="s">
        <v>27</v>
      </c>
      <c r="J68" t="s">
        <v>19</v>
      </c>
      <c r="K68">
        <v>70</v>
      </c>
      <c r="L68">
        <v>78</v>
      </c>
      <c r="M68">
        <v>3</v>
      </c>
      <c r="N68" t="s">
        <v>20</v>
      </c>
      <c r="O68" t="s">
        <v>30</v>
      </c>
    </row>
    <row r="69" spans="1:15" x14ac:dyDescent="0.35">
      <c r="A69">
        <v>68</v>
      </c>
      <c r="B69" t="s">
        <v>31</v>
      </c>
      <c r="C69">
        <v>17</v>
      </c>
      <c r="D69" s="1" t="s">
        <v>15</v>
      </c>
      <c r="E69" s="1" t="s">
        <v>81</v>
      </c>
      <c r="F69">
        <v>2.4</v>
      </c>
      <c r="G69" s="1" t="s">
        <v>22</v>
      </c>
      <c r="H69" s="1" t="s">
        <v>33</v>
      </c>
      <c r="I69" s="1" t="s">
        <v>27</v>
      </c>
      <c r="J69" t="s">
        <v>28</v>
      </c>
      <c r="K69">
        <v>61</v>
      </c>
      <c r="L69">
        <v>72</v>
      </c>
      <c r="M69">
        <v>4</v>
      </c>
      <c r="N69" t="s">
        <v>20</v>
      </c>
      <c r="O69" t="s">
        <v>30</v>
      </c>
    </row>
    <row r="70" spans="1:15" x14ac:dyDescent="0.35">
      <c r="A70">
        <v>69</v>
      </c>
      <c r="B70" t="s">
        <v>31</v>
      </c>
      <c r="C70">
        <v>16</v>
      </c>
      <c r="D70" s="1" t="s">
        <v>21</v>
      </c>
      <c r="E70" s="1" t="s">
        <v>82</v>
      </c>
      <c r="F70">
        <v>4.5</v>
      </c>
      <c r="G70" s="1" t="s">
        <v>16</v>
      </c>
      <c r="H70" s="1" t="s">
        <v>17</v>
      </c>
      <c r="I70" s="1" t="s">
        <v>17</v>
      </c>
      <c r="J70" t="s">
        <v>34</v>
      </c>
      <c r="K70">
        <v>66</v>
      </c>
      <c r="L70">
        <v>66</v>
      </c>
      <c r="M70">
        <v>7</v>
      </c>
      <c r="N70" t="s">
        <v>20</v>
      </c>
      <c r="O70" t="s">
        <v>20</v>
      </c>
    </row>
    <row r="71" spans="1:15" x14ac:dyDescent="0.35">
      <c r="A71">
        <v>70</v>
      </c>
      <c r="B71" t="s">
        <v>18</v>
      </c>
      <c r="C71">
        <v>18</v>
      </c>
      <c r="D71" s="1" t="s">
        <v>15</v>
      </c>
      <c r="E71" s="1" t="s">
        <v>81</v>
      </c>
      <c r="F71">
        <v>2.6</v>
      </c>
      <c r="G71" s="1" t="s">
        <v>16</v>
      </c>
      <c r="H71" s="1" t="s">
        <v>17</v>
      </c>
      <c r="I71" s="1" t="s">
        <v>17</v>
      </c>
      <c r="J71" t="s">
        <v>19</v>
      </c>
      <c r="K71">
        <v>55</v>
      </c>
      <c r="L71">
        <v>55</v>
      </c>
      <c r="M71">
        <v>2</v>
      </c>
      <c r="N71" t="s">
        <v>26</v>
      </c>
      <c r="O71" t="s">
        <v>26</v>
      </c>
    </row>
    <row r="72" spans="1:15" x14ac:dyDescent="0.35">
      <c r="A72">
        <v>71</v>
      </c>
      <c r="B72" t="s">
        <v>31</v>
      </c>
      <c r="C72">
        <v>16</v>
      </c>
      <c r="D72" s="1" t="s">
        <v>21</v>
      </c>
      <c r="E72" s="1" t="s">
        <v>80</v>
      </c>
      <c r="F72">
        <v>1.7</v>
      </c>
      <c r="G72" s="1" t="s">
        <v>16</v>
      </c>
      <c r="H72" s="1" t="s">
        <v>17</v>
      </c>
      <c r="I72" s="1" t="s">
        <v>17</v>
      </c>
      <c r="J72" t="s">
        <v>19</v>
      </c>
      <c r="K72">
        <v>56</v>
      </c>
      <c r="L72">
        <v>56</v>
      </c>
      <c r="M72">
        <v>2</v>
      </c>
      <c r="N72" t="s">
        <v>26</v>
      </c>
      <c r="O72" t="s">
        <v>26</v>
      </c>
    </row>
    <row r="73" spans="1:15" x14ac:dyDescent="0.35">
      <c r="A73">
        <v>72</v>
      </c>
      <c r="B73" t="s">
        <v>18</v>
      </c>
      <c r="C73">
        <v>18</v>
      </c>
      <c r="D73" s="1" t="s">
        <v>15</v>
      </c>
      <c r="E73" s="1" t="s">
        <v>81</v>
      </c>
      <c r="F73">
        <v>2.7</v>
      </c>
      <c r="G73" s="1" t="s">
        <v>16</v>
      </c>
      <c r="H73" s="1" t="s">
        <v>17</v>
      </c>
      <c r="I73" s="1" t="s">
        <v>17</v>
      </c>
      <c r="J73" t="s">
        <v>34</v>
      </c>
      <c r="K73">
        <v>68</v>
      </c>
      <c r="L73">
        <v>68</v>
      </c>
      <c r="M73">
        <v>6</v>
      </c>
      <c r="N73" t="s">
        <v>20</v>
      </c>
      <c r="O73" t="s">
        <v>20</v>
      </c>
    </row>
    <row r="74" spans="1:15" x14ac:dyDescent="0.35">
      <c r="A74">
        <v>73</v>
      </c>
      <c r="B74" t="s">
        <v>18</v>
      </c>
      <c r="C74">
        <v>18</v>
      </c>
      <c r="D74" s="1" t="s">
        <v>15</v>
      </c>
      <c r="E74" s="1" t="s">
        <v>80</v>
      </c>
      <c r="F74">
        <v>1.5</v>
      </c>
      <c r="G74" s="1" t="s">
        <v>22</v>
      </c>
      <c r="H74" s="1" t="s">
        <v>32</v>
      </c>
      <c r="I74" s="1" t="s">
        <v>27</v>
      </c>
      <c r="J74" t="s">
        <v>34</v>
      </c>
      <c r="K74">
        <v>68</v>
      </c>
      <c r="L74">
        <v>73</v>
      </c>
      <c r="M74">
        <v>6</v>
      </c>
      <c r="N74" t="s">
        <v>20</v>
      </c>
      <c r="O74" t="s">
        <v>30</v>
      </c>
    </row>
    <row r="75" spans="1:15" x14ac:dyDescent="0.35">
      <c r="A75">
        <v>74</v>
      </c>
      <c r="B75" t="s">
        <v>18</v>
      </c>
      <c r="C75">
        <v>18</v>
      </c>
      <c r="D75" s="1" t="s">
        <v>15</v>
      </c>
      <c r="E75" s="1" t="s">
        <v>81</v>
      </c>
      <c r="F75">
        <v>3.7</v>
      </c>
      <c r="G75" s="1" t="s">
        <v>22</v>
      </c>
      <c r="H75" s="1" t="s">
        <v>32</v>
      </c>
      <c r="I75" s="1" t="s">
        <v>24</v>
      </c>
      <c r="J75" t="s">
        <v>28</v>
      </c>
      <c r="K75">
        <v>57</v>
      </c>
      <c r="L75">
        <v>72</v>
      </c>
      <c r="M75">
        <v>4</v>
      </c>
      <c r="N75" t="s">
        <v>26</v>
      </c>
      <c r="O75" t="s">
        <v>30</v>
      </c>
    </row>
    <row r="76" spans="1:15" x14ac:dyDescent="0.35">
      <c r="A76">
        <v>75</v>
      </c>
      <c r="B76" t="s">
        <v>18</v>
      </c>
      <c r="C76">
        <v>18</v>
      </c>
      <c r="D76" s="1" t="s">
        <v>15</v>
      </c>
      <c r="E76" s="1" t="s">
        <v>81</v>
      </c>
      <c r="F76">
        <v>2.2999999999999998</v>
      </c>
      <c r="G76" s="1" t="s">
        <v>22</v>
      </c>
      <c r="H76" s="1" t="s">
        <v>23</v>
      </c>
      <c r="I76" s="1" t="s">
        <v>24</v>
      </c>
      <c r="J76" t="s">
        <v>34</v>
      </c>
      <c r="K76">
        <v>71</v>
      </c>
      <c r="L76">
        <v>80</v>
      </c>
      <c r="M76">
        <v>7</v>
      </c>
      <c r="N76" t="s">
        <v>29</v>
      </c>
      <c r="O76" t="s">
        <v>30</v>
      </c>
    </row>
    <row r="77" spans="1:15" x14ac:dyDescent="0.35">
      <c r="A77">
        <v>76</v>
      </c>
      <c r="B77" t="s">
        <v>31</v>
      </c>
      <c r="C77">
        <v>17</v>
      </c>
      <c r="D77" s="1" t="s">
        <v>15</v>
      </c>
      <c r="E77" s="1" t="s">
        <v>81</v>
      </c>
      <c r="F77">
        <v>2.2999999999999998</v>
      </c>
      <c r="G77" s="1" t="s">
        <v>16</v>
      </c>
      <c r="H77" s="1" t="s">
        <v>17</v>
      </c>
      <c r="I77" s="1" t="s">
        <v>17</v>
      </c>
      <c r="J77" t="s">
        <v>19</v>
      </c>
      <c r="K77">
        <v>72</v>
      </c>
      <c r="L77">
        <v>72</v>
      </c>
      <c r="M77">
        <v>3</v>
      </c>
      <c r="N77" t="s">
        <v>29</v>
      </c>
      <c r="O77" t="s">
        <v>30</v>
      </c>
    </row>
    <row r="78" spans="1:15" x14ac:dyDescent="0.35">
      <c r="A78">
        <v>77</v>
      </c>
      <c r="B78" t="s">
        <v>25</v>
      </c>
      <c r="C78">
        <v>15</v>
      </c>
      <c r="D78" s="1" t="s">
        <v>21</v>
      </c>
      <c r="E78" s="1" t="s">
        <v>81</v>
      </c>
      <c r="F78">
        <v>2.7</v>
      </c>
      <c r="G78" s="1" t="s">
        <v>16</v>
      </c>
      <c r="H78" s="1" t="s">
        <v>17</v>
      </c>
      <c r="I78" s="1" t="s">
        <v>17</v>
      </c>
      <c r="J78" t="s">
        <v>34</v>
      </c>
      <c r="K78">
        <v>60</v>
      </c>
      <c r="L78">
        <v>60</v>
      </c>
      <c r="M78">
        <v>6</v>
      </c>
      <c r="N78" t="s">
        <v>26</v>
      </c>
      <c r="O78" t="s">
        <v>26</v>
      </c>
    </row>
    <row r="79" spans="1:15" x14ac:dyDescent="0.35">
      <c r="A79">
        <v>78</v>
      </c>
      <c r="B79" t="s">
        <v>18</v>
      </c>
      <c r="C79">
        <v>18</v>
      </c>
      <c r="D79" s="1" t="s">
        <v>15</v>
      </c>
      <c r="E79" s="1" t="s">
        <v>81</v>
      </c>
      <c r="F79">
        <v>2.2000000000000002</v>
      </c>
      <c r="G79" s="1" t="s">
        <v>22</v>
      </c>
      <c r="H79" s="1" t="s">
        <v>32</v>
      </c>
      <c r="I79" s="1" t="s">
        <v>24</v>
      </c>
      <c r="J79" t="s">
        <v>34</v>
      </c>
      <c r="K79">
        <v>61</v>
      </c>
      <c r="L79">
        <v>72</v>
      </c>
      <c r="M79">
        <v>6</v>
      </c>
      <c r="N79" t="s">
        <v>20</v>
      </c>
      <c r="O79" t="s">
        <v>30</v>
      </c>
    </row>
    <row r="80" spans="1:15" x14ac:dyDescent="0.35">
      <c r="A80">
        <v>79</v>
      </c>
      <c r="B80" t="s">
        <v>18</v>
      </c>
      <c r="C80">
        <v>18</v>
      </c>
      <c r="D80" s="1" t="s">
        <v>15</v>
      </c>
      <c r="E80" s="1" t="s">
        <v>81</v>
      </c>
      <c r="F80">
        <v>3.6</v>
      </c>
      <c r="G80" s="1" t="s">
        <v>16</v>
      </c>
      <c r="H80" s="1" t="s">
        <v>17</v>
      </c>
      <c r="I80" s="1" t="s">
        <v>17</v>
      </c>
      <c r="J80" t="s">
        <v>28</v>
      </c>
      <c r="K80">
        <v>69</v>
      </c>
      <c r="L80">
        <v>69</v>
      </c>
      <c r="M80">
        <v>5</v>
      </c>
      <c r="N80" t="s">
        <v>20</v>
      </c>
      <c r="O80" t="s">
        <v>20</v>
      </c>
    </row>
    <row r="81" spans="1:15" x14ac:dyDescent="0.35">
      <c r="A81">
        <v>80</v>
      </c>
      <c r="B81" t="s">
        <v>18</v>
      </c>
      <c r="C81">
        <v>19</v>
      </c>
      <c r="D81" s="1" t="s">
        <v>15</v>
      </c>
      <c r="E81" s="1" t="s">
        <v>80</v>
      </c>
      <c r="F81">
        <v>1.9</v>
      </c>
      <c r="G81" s="1" t="s">
        <v>16</v>
      </c>
      <c r="H81" s="1" t="s">
        <v>17</v>
      </c>
      <c r="I81" s="1" t="s">
        <v>17</v>
      </c>
      <c r="J81" t="s">
        <v>34</v>
      </c>
      <c r="K81">
        <v>60</v>
      </c>
      <c r="L81">
        <v>60</v>
      </c>
      <c r="M81">
        <v>7</v>
      </c>
      <c r="N81" t="s">
        <v>26</v>
      </c>
      <c r="O81" t="s">
        <v>26</v>
      </c>
    </row>
    <row r="82" spans="1:15" x14ac:dyDescent="0.35">
      <c r="A82">
        <v>81</v>
      </c>
      <c r="B82" t="s">
        <v>25</v>
      </c>
      <c r="C82">
        <v>14</v>
      </c>
      <c r="D82" s="1" t="s">
        <v>21</v>
      </c>
      <c r="E82" s="1" t="s">
        <v>81</v>
      </c>
      <c r="F82">
        <v>2.1</v>
      </c>
      <c r="G82" s="1" t="s">
        <v>16</v>
      </c>
      <c r="H82" s="1" t="s">
        <v>17</v>
      </c>
      <c r="I82" s="1" t="s">
        <v>17</v>
      </c>
      <c r="J82" t="s">
        <v>19</v>
      </c>
      <c r="K82">
        <v>57</v>
      </c>
      <c r="L82">
        <v>57</v>
      </c>
      <c r="M82">
        <v>3</v>
      </c>
      <c r="N82" t="s">
        <v>26</v>
      </c>
      <c r="O82" t="s">
        <v>26</v>
      </c>
    </row>
    <row r="83" spans="1:15" x14ac:dyDescent="0.35">
      <c r="A83">
        <v>82</v>
      </c>
      <c r="B83" t="s">
        <v>18</v>
      </c>
      <c r="C83">
        <v>19</v>
      </c>
      <c r="D83" s="1" t="s">
        <v>15</v>
      </c>
      <c r="E83" s="1" t="s">
        <v>81</v>
      </c>
      <c r="F83">
        <v>2.2000000000000002</v>
      </c>
      <c r="G83" s="1" t="s">
        <v>22</v>
      </c>
      <c r="H83" s="1" t="s">
        <v>33</v>
      </c>
      <c r="I83" s="1" t="s">
        <v>27</v>
      </c>
      <c r="J83" t="s">
        <v>28</v>
      </c>
      <c r="K83">
        <v>56</v>
      </c>
      <c r="L83">
        <v>64</v>
      </c>
      <c r="M83">
        <v>5</v>
      </c>
      <c r="N83" t="s">
        <v>26</v>
      </c>
      <c r="O83" t="s">
        <v>20</v>
      </c>
    </row>
    <row r="84" spans="1:15" x14ac:dyDescent="0.35">
      <c r="A84">
        <v>83</v>
      </c>
      <c r="B84" t="s">
        <v>18</v>
      </c>
      <c r="C84">
        <v>18</v>
      </c>
      <c r="D84" s="1" t="s">
        <v>15</v>
      </c>
      <c r="E84" s="1" t="s">
        <v>82</v>
      </c>
      <c r="F84">
        <v>4.4000000000000004</v>
      </c>
      <c r="G84" s="1" t="s">
        <v>22</v>
      </c>
      <c r="H84" s="1" t="s">
        <v>32</v>
      </c>
      <c r="I84" s="1" t="s">
        <v>24</v>
      </c>
      <c r="J84" t="s">
        <v>19</v>
      </c>
      <c r="K84">
        <v>75</v>
      </c>
      <c r="L84">
        <v>89</v>
      </c>
      <c r="M84">
        <v>3</v>
      </c>
      <c r="N84" t="s">
        <v>29</v>
      </c>
      <c r="O84" t="s">
        <v>30</v>
      </c>
    </row>
    <row r="85" spans="1:15" x14ac:dyDescent="0.35">
      <c r="A85">
        <v>84</v>
      </c>
      <c r="B85" t="s">
        <v>18</v>
      </c>
      <c r="C85">
        <v>19</v>
      </c>
      <c r="D85" s="1" t="s">
        <v>15</v>
      </c>
      <c r="E85" s="1" t="s">
        <v>81</v>
      </c>
      <c r="F85">
        <v>3.8</v>
      </c>
      <c r="G85" s="1" t="s">
        <v>16</v>
      </c>
      <c r="H85" s="1" t="s">
        <v>17</v>
      </c>
      <c r="I85" s="1" t="s">
        <v>17</v>
      </c>
      <c r="J85" t="s">
        <v>19</v>
      </c>
      <c r="K85">
        <v>67</v>
      </c>
      <c r="L85">
        <v>67</v>
      </c>
      <c r="M85">
        <v>3</v>
      </c>
      <c r="N85" t="s">
        <v>20</v>
      </c>
      <c r="O85" t="s">
        <v>20</v>
      </c>
    </row>
    <row r="86" spans="1:15" x14ac:dyDescent="0.35">
      <c r="A86">
        <v>85</v>
      </c>
      <c r="B86" t="s">
        <v>25</v>
      </c>
      <c r="C86">
        <v>15</v>
      </c>
      <c r="D86" s="1" t="s">
        <v>21</v>
      </c>
      <c r="E86" s="1" t="s">
        <v>81</v>
      </c>
      <c r="F86">
        <v>3.6</v>
      </c>
      <c r="G86" s="1" t="s">
        <v>22</v>
      </c>
      <c r="H86" s="1" t="s">
        <v>33</v>
      </c>
      <c r="I86" s="1" t="s">
        <v>24</v>
      </c>
      <c r="J86" t="s">
        <v>34</v>
      </c>
      <c r="K86">
        <v>62</v>
      </c>
      <c r="L86">
        <v>69</v>
      </c>
      <c r="M86">
        <v>7</v>
      </c>
      <c r="N86" t="s">
        <v>20</v>
      </c>
      <c r="O86" t="s">
        <v>20</v>
      </c>
    </row>
    <row r="87" spans="1:15" x14ac:dyDescent="0.35">
      <c r="A87">
        <v>86</v>
      </c>
      <c r="B87" t="s">
        <v>18</v>
      </c>
      <c r="C87">
        <v>18</v>
      </c>
      <c r="D87" s="1" t="s">
        <v>15</v>
      </c>
      <c r="E87" s="1" t="s">
        <v>81</v>
      </c>
      <c r="F87">
        <v>2.9</v>
      </c>
      <c r="G87" s="1" t="s">
        <v>22</v>
      </c>
      <c r="H87" s="1" t="s">
        <v>33</v>
      </c>
      <c r="I87" s="1" t="s">
        <v>24</v>
      </c>
      <c r="J87" t="s">
        <v>34</v>
      </c>
      <c r="K87">
        <v>59</v>
      </c>
      <c r="L87">
        <v>71</v>
      </c>
      <c r="M87">
        <v>7</v>
      </c>
      <c r="N87" t="s">
        <v>26</v>
      </c>
      <c r="O87" t="s">
        <v>30</v>
      </c>
    </row>
    <row r="88" spans="1:15" x14ac:dyDescent="0.35">
      <c r="A88">
        <v>87</v>
      </c>
      <c r="B88" t="s">
        <v>18</v>
      </c>
      <c r="C88">
        <v>18</v>
      </c>
      <c r="D88" s="1" t="s">
        <v>15</v>
      </c>
      <c r="E88" s="1" t="s">
        <v>82</v>
      </c>
      <c r="F88">
        <v>5</v>
      </c>
      <c r="G88" s="1" t="s">
        <v>16</v>
      </c>
      <c r="H88" s="1" t="s">
        <v>17</v>
      </c>
      <c r="I88" s="1" t="s">
        <v>17</v>
      </c>
      <c r="J88" t="s">
        <v>34</v>
      </c>
      <c r="K88">
        <v>69</v>
      </c>
      <c r="L88">
        <v>69</v>
      </c>
      <c r="M88">
        <v>6</v>
      </c>
      <c r="N88" t="s">
        <v>20</v>
      </c>
      <c r="O88" t="s">
        <v>20</v>
      </c>
    </row>
    <row r="89" spans="1:15" x14ac:dyDescent="0.35">
      <c r="A89">
        <v>88</v>
      </c>
      <c r="B89" t="s">
        <v>18</v>
      </c>
      <c r="C89">
        <v>19</v>
      </c>
      <c r="D89" s="1" t="s">
        <v>15</v>
      </c>
      <c r="E89" s="1" t="s">
        <v>82</v>
      </c>
      <c r="F89">
        <v>4.5999999999999996</v>
      </c>
      <c r="G89" s="1" t="s">
        <v>16</v>
      </c>
      <c r="H89" s="1" t="s">
        <v>17</v>
      </c>
      <c r="I89" s="1" t="s">
        <v>17</v>
      </c>
      <c r="J89" t="s">
        <v>28</v>
      </c>
      <c r="K89">
        <v>72</v>
      </c>
      <c r="L89">
        <v>72</v>
      </c>
      <c r="M89">
        <v>5</v>
      </c>
      <c r="N89" t="s">
        <v>29</v>
      </c>
      <c r="O89" t="s">
        <v>30</v>
      </c>
    </row>
    <row r="90" spans="1:15" x14ac:dyDescent="0.35">
      <c r="A90">
        <v>89</v>
      </c>
      <c r="B90" t="s">
        <v>25</v>
      </c>
      <c r="C90">
        <v>15</v>
      </c>
      <c r="D90" s="1" t="s">
        <v>21</v>
      </c>
      <c r="E90" s="1" t="s">
        <v>81</v>
      </c>
      <c r="F90">
        <v>4</v>
      </c>
      <c r="G90" s="1" t="s">
        <v>16</v>
      </c>
      <c r="H90" s="1" t="s">
        <v>17</v>
      </c>
      <c r="I90" s="1" t="s">
        <v>17</v>
      </c>
      <c r="J90" t="s">
        <v>28</v>
      </c>
      <c r="K90">
        <v>69</v>
      </c>
      <c r="L90">
        <v>69</v>
      </c>
      <c r="M90">
        <v>4</v>
      </c>
      <c r="N90" t="s">
        <v>20</v>
      </c>
      <c r="O90" t="s">
        <v>20</v>
      </c>
    </row>
    <row r="91" spans="1:15" x14ac:dyDescent="0.35">
      <c r="A91">
        <v>90</v>
      </c>
      <c r="B91" t="s">
        <v>25</v>
      </c>
      <c r="C91">
        <v>15</v>
      </c>
      <c r="D91" s="1" t="s">
        <v>21</v>
      </c>
      <c r="E91" s="1" t="s">
        <v>82</v>
      </c>
      <c r="F91">
        <v>4.4000000000000004</v>
      </c>
      <c r="G91" s="1" t="s">
        <v>16</v>
      </c>
      <c r="H91" s="1" t="s">
        <v>17</v>
      </c>
      <c r="I91" s="1" t="s">
        <v>17</v>
      </c>
      <c r="J91" t="s">
        <v>28</v>
      </c>
      <c r="K91">
        <v>71</v>
      </c>
      <c r="L91">
        <v>71</v>
      </c>
      <c r="M91">
        <v>5</v>
      </c>
      <c r="N91" t="s">
        <v>29</v>
      </c>
      <c r="O91" t="s">
        <v>30</v>
      </c>
    </row>
    <row r="92" spans="1:15" x14ac:dyDescent="0.35">
      <c r="A92">
        <v>91</v>
      </c>
      <c r="B92" t="s">
        <v>18</v>
      </c>
      <c r="C92">
        <v>19</v>
      </c>
      <c r="D92" s="1" t="s">
        <v>15</v>
      </c>
      <c r="E92" s="1" t="s">
        <v>80</v>
      </c>
      <c r="F92">
        <v>2</v>
      </c>
      <c r="G92" s="1" t="s">
        <v>16</v>
      </c>
      <c r="H92" s="1" t="s">
        <v>17</v>
      </c>
      <c r="I92" s="1" t="s">
        <v>17</v>
      </c>
      <c r="J92" t="s">
        <v>34</v>
      </c>
      <c r="K92">
        <v>57</v>
      </c>
      <c r="L92">
        <v>57</v>
      </c>
      <c r="M92">
        <v>7</v>
      </c>
      <c r="N92" t="s">
        <v>26</v>
      </c>
      <c r="O92" t="s">
        <v>26</v>
      </c>
    </row>
    <row r="93" spans="1:15" x14ac:dyDescent="0.35">
      <c r="A93">
        <v>92</v>
      </c>
      <c r="B93" t="s">
        <v>31</v>
      </c>
      <c r="C93">
        <v>16</v>
      </c>
      <c r="D93" s="1" t="s">
        <v>21</v>
      </c>
      <c r="E93" s="1" t="s">
        <v>80</v>
      </c>
      <c r="F93">
        <v>1.9</v>
      </c>
      <c r="G93" s="1" t="s">
        <v>16</v>
      </c>
      <c r="H93" s="1" t="s">
        <v>17</v>
      </c>
      <c r="I93" s="1" t="s">
        <v>17</v>
      </c>
      <c r="J93" t="s">
        <v>34</v>
      </c>
      <c r="K93">
        <v>65</v>
      </c>
      <c r="L93">
        <v>65</v>
      </c>
      <c r="M93">
        <v>6</v>
      </c>
      <c r="N93" t="s">
        <v>20</v>
      </c>
      <c r="O93" t="s">
        <v>20</v>
      </c>
    </row>
    <row r="94" spans="1:15" x14ac:dyDescent="0.35">
      <c r="A94">
        <v>93</v>
      </c>
      <c r="B94" t="s">
        <v>25</v>
      </c>
      <c r="C94">
        <v>14</v>
      </c>
      <c r="D94" s="1" t="s">
        <v>21</v>
      </c>
      <c r="E94" s="1" t="s">
        <v>80</v>
      </c>
      <c r="F94">
        <v>1.6</v>
      </c>
      <c r="G94" s="1" t="s">
        <v>22</v>
      </c>
      <c r="H94" s="1" t="s">
        <v>32</v>
      </c>
      <c r="I94" s="1" t="s">
        <v>35</v>
      </c>
      <c r="J94" t="s">
        <v>19</v>
      </c>
      <c r="K94">
        <v>59</v>
      </c>
      <c r="L94">
        <v>67</v>
      </c>
      <c r="M94">
        <v>2</v>
      </c>
      <c r="N94" t="s">
        <v>26</v>
      </c>
      <c r="O94" t="s">
        <v>20</v>
      </c>
    </row>
    <row r="95" spans="1:15" x14ac:dyDescent="0.35">
      <c r="A95">
        <v>94</v>
      </c>
      <c r="B95" t="s">
        <v>31</v>
      </c>
      <c r="C95">
        <v>17</v>
      </c>
      <c r="D95" s="1" t="s">
        <v>15</v>
      </c>
      <c r="E95" s="1" t="s">
        <v>81</v>
      </c>
      <c r="F95">
        <v>2.6</v>
      </c>
      <c r="G95" s="1" t="s">
        <v>16</v>
      </c>
      <c r="H95" s="1" t="s">
        <v>17</v>
      </c>
      <c r="I95" s="1" t="s">
        <v>17</v>
      </c>
      <c r="J95" t="s">
        <v>19</v>
      </c>
      <c r="K95">
        <v>68</v>
      </c>
      <c r="L95">
        <v>68</v>
      </c>
      <c r="M95">
        <v>2</v>
      </c>
      <c r="N95" t="s">
        <v>20</v>
      </c>
      <c r="O95" t="s">
        <v>20</v>
      </c>
    </row>
    <row r="96" spans="1:15" x14ac:dyDescent="0.35">
      <c r="A96">
        <v>95</v>
      </c>
      <c r="B96" t="s">
        <v>25</v>
      </c>
      <c r="C96">
        <v>15</v>
      </c>
      <c r="D96" s="1" t="s">
        <v>21</v>
      </c>
      <c r="E96" s="1" t="s">
        <v>82</v>
      </c>
      <c r="F96">
        <v>4.3</v>
      </c>
      <c r="G96" s="1" t="s">
        <v>16</v>
      </c>
      <c r="H96" s="1" t="s">
        <v>17</v>
      </c>
      <c r="I96" s="1" t="s">
        <v>17</v>
      </c>
      <c r="J96" t="s">
        <v>34</v>
      </c>
      <c r="K96">
        <v>73</v>
      </c>
      <c r="L96">
        <v>73</v>
      </c>
      <c r="M96">
        <v>7</v>
      </c>
      <c r="N96" t="s">
        <v>29</v>
      </c>
      <c r="O96" t="s">
        <v>30</v>
      </c>
    </row>
    <row r="97" spans="1:15" x14ac:dyDescent="0.35">
      <c r="A97">
        <v>96</v>
      </c>
      <c r="B97" t="s">
        <v>25</v>
      </c>
      <c r="C97">
        <v>14</v>
      </c>
      <c r="D97" s="1" t="s">
        <v>21</v>
      </c>
      <c r="E97" s="1" t="s">
        <v>82</v>
      </c>
      <c r="F97">
        <v>4.4000000000000004</v>
      </c>
      <c r="G97" s="1" t="s">
        <v>16</v>
      </c>
      <c r="H97" s="1" t="s">
        <v>17</v>
      </c>
      <c r="I97" s="1" t="s">
        <v>17</v>
      </c>
      <c r="J97" t="s">
        <v>19</v>
      </c>
      <c r="K97">
        <v>70</v>
      </c>
      <c r="L97">
        <v>70</v>
      </c>
      <c r="M97">
        <v>2</v>
      </c>
      <c r="N97" t="s">
        <v>20</v>
      </c>
      <c r="O97" t="s">
        <v>20</v>
      </c>
    </row>
    <row r="98" spans="1:15" x14ac:dyDescent="0.35">
      <c r="A98">
        <v>97</v>
      </c>
      <c r="B98" t="s">
        <v>31</v>
      </c>
      <c r="C98">
        <v>16</v>
      </c>
      <c r="D98" s="1" t="s">
        <v>21</v>
      </c>
      <c r="E98" s="1" t="s">
        <v>81</v>
      </c>
      <c r="F98">
        <v>2.2000000000000002</v>
      </c>
      <c r="G98" s="1" t="s">
        <v>16</v>
      </c>
      <c r="H98" s="1" t="s">
        <v>17</v>
      </c>
      <c r="I98" s="1" t="s">
        <v>17</v>
      </c>
      <c r="J98" t="s">
        <v>34</v>
      </c>
      <c r="K98">
        <v>68</v>
      </c>
      <c r="L98">
        <v>68</v>
      </c>
      <c r="M98">
        <v>6</v>
      </c>
      <c r="N98" t="s">
        <v>20</v>
      </c>
      <c r="O98" t="s">
        <v>20</v>
      </c>
    </row>
    <row r="99" spans="1:15" x14ac:dyDescent="0.35">
      <c r="A99">
        <v>98</v>
      </c>
      <c r="B99" t="s">
        <v>18</v>
      </c>
      <c r="C99">
        <v>19</v>
      </c>
      <c r="D99" s="1" t="s">
        <v>15</v>
      </c>
      <c r="E99" s="1" t="s">
        <v>81</v>
      </c>
      <c r="F99">
        <v>3.9</v>
      </c>
      <c r="G99" s="1" t="s">
        <v>22</v>
      </c>
      <c r="H99" s="1" t="s">
        <v>32</v>
      </c>
      <c r="I99" s="1" t="s">
        <v>27</v>
      </c>
      <c r="J99" t="s">
        <v>28</v>
      </c>
      <c r="K99">
        <v>63</v>
      </c>
      <c r="L99">
        <v>74</v>
      </c>
      <c r="M99">
        <v>5</v>
      </c>
      <c r="N99" t="s">
        <v>20</v>
      </c>
      <c r="O99" t="s">
        <v>30</v>
      </c>
    </row>
    <row r="100" spans="1:15" x14ac:dyDescent="0.35">
      <c r="A100">
        <v>99</v>
      </c>
      <c r="B100" t="s">
        <v>25</v>
      </c>
      <c r="C100">
        <v>14</v>
      </c>
      <c r="D100" s="1" t="s">
        <v>21</v>
      </c>
      <c r="E100" s="1" t="s">
        <v>81</v>
      </c>
      <c r="F100">
        <v>2.6</v>
      </c>
      <c r="G100" s="1" t="s">
        <v>16</v>
      </c>
      <c r="H100" s="1" t="s">
        <v>17</v>
      </c>
      <c r="I100" s="1" t="s">
        <v>17</v>
      </c>
      <c r="J100" t="s">
        <v>28</v>
      </c>
      <c r="K100">
        <v>60</v>
      </c>
      <c r="L100">
        <v>60</v>
      </c>
      <c r="M100">
        <v>5</v>
      </c>
      <c r="N100" t="s">
        <v>26</v>
      </c>
      <c r="O100" t="s">
        <v>26</v>
      </c>
    </row>
    <row r="101" spans="1:15" x14ac:dyDescent="0.35">
      <c r="A101">
        <v>100</v>
      </c>
      <c r="B101" t="s">
        <v>25</v>
      </c>
      <c r="C101">
        <v>15</v>
      </c>
      <c r="D101" s="1" t="s">
        <v>21</v>
      </c>
      <c r="E101" s="1" t="s">
        <v>82</v>
      </c>
      <c r="F101">
        <v>4.9000000000000004</v>
      </c>
      <c r="G101" s="1" t="s">
        <v>22</v>
      </c>
      <c r="H101" s="1" t="s">
        <v>32</v>
      </c>
      <c r="I101" s="1" t="s">
        <v>35</v>
      </c>
      <c r="J101" t="s">
        <v>19</v>
      </c>
      <c r="K101">
        <v>73</v>
      </c>
      <c r="L101">
        <v>88</v>
      </c>
      <c r="M101">
        <v>2</v>
      </c>
      <c r="N101" t="s">
        <v>29</v>
      </c>
      <c r="O101"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1:C16"/>
  <sheetViews>
    <sheetView workbookViewId="0">
      <selection sqref="A1:C2"/>
    </sheetView>
  </sheetViews>
  <sheetFormatPr defaultRowHeight="14.5" x14ac:dyDescent="0.35"/>
  <cols>
    <col min="1" max="1" width="15.7265625" bestFit="1" customWidth="1"/>
    <col min="2" max="2" width="29.36328125" bestFit="1" customWidth="1"/>
    <col min="3" max="3" width="96.453125" bestFit="1" customWidth="1"/>
  </cols>
  <sheetData>
    <row r="1" spans="1:3" x14ac:dyDescent="0.35">
      <c r="A1" s="18" t="s">
        <v>63</v>
      </c>
      <c r="B1" s="19"/>
      <c r="C1" s="19"/>
    </row>
    <row r="2" spans="1:3" x14ac:dyDescent="0.35">
      <c r="A2" s="19"/>
      <c r="B2" s="19"/>
      <c r="C2" s="19"/>
    </row>
    <row r="3" spans="1:3" x14ac:dyDescent="0.35">
      <c r="A3" s="2" t="s">
        <v>36</v>
      </c>
      <c r="B3" s="2" t="s">
        <v>37</v>
      </c>
      <c r="C3" s="2" t="s">
        <v>38</v>
      </c>
    </row>
    <row r="4" spans="1:3" x14ac:dyDescent="0.35">
      <c r="A4" s="4" t="s">
        <v>10</v>
      </c>
      <c r="B4" s="3" t="s">
        <v>39</v>
      </c>
      <c r="C4" s="3" t="s">
        <v>40</v>
      </c>
    </row>
    <row r="5" spans="1:3" x14ac:dyDescent="0.35">
      <c r="A5" s="4" t="s">
        <v>41</v>
      </c>
      <c r="B5" s="3" t="s">
        <v>39</v>
      </c>
      <c r="C5" s="3" t="s">
        <v>42</v>
      </c>
    </row>
    <row r="6" spans="1:3" x14ac:dyDescent="0.35">
      <c r="A6" s="4" t="s">
        <v>43</v>
      </c>
      <c r="B6" s="3" t="s">
        <v>44</v>
      </c>
      <c r="C6" s="3" t="s">
        <v>45</v>
      </c>
    </row>
    <row r="7" spans="1:3" x14ac:dyDescent="0.35">
      <c r="A7" s="4" t="s">
        <v>46</v>
      </c>
      <c r="B7" s="3" t="s">
        <v>47</v>
      </c>
      <c r="C7" s="3" t="s">
        <v>48</v>
      </c>
    </row>
    <row r="8" spans="1:3" x14ac:dyDescent="0.35">
      <c r="A8" s="4" t="s">
        <v>49</v>
      </c>
      <c r="B8" s="3" t="s">
        <v>39</v>
      </c>
      <c r="C8" s="3" t="s">
        <v>50</v>
      </c>
    </row>
    <row r="9" spans="1:3" x14ac:dyDescent="0.35">
      <c r="A9" s="4" t="s">
        <v>11</v>
      </c>
      <c r="B9" s="3" t="s">
        <v>51</v>
      </c>
      <c r="C9" s="3" t="s">
        <v>52</v>
      </c>
    </row>
    <row r="10" spans="1:3" x14ac:dyDescent="0.35">
      <c r="A10" s="4" t="s">
        <v>12</v>
      </c>
      <c r="B10" s="3" t="s">
        <v>51</v>
      </c>
      <c r="C10" s="3" t="s">
        <v>53</v>
      </c>
    </row>
    <row r="11" spans="1:3" ht="29" x14ac:dyDescent="0.35">
      <c r="A11" s="4" t="s">
        <v>56</v>
      </c>
      <c r="B11" s="3" t="s">
        <v>51</v>
      </c>
      <c r="C11" s="3" t="s">
        <v>54</v>
      </c>
    </row>
    <row r="12" spans="1:3" x14ac:dyDescent="0.35">
      <c r="A12" s="4" t="s">
        <v>14</v>
      </c>
      <c r="B12" s="3" t="s">
        <v>51</v>
      </c>
      <c r="C12" s="3" t="s">
        <v>55</v>
      </c>
    </row>
    <row r="13" spans="1:3" x14ac:dyDescent="0.35">
      <c r="A13" s="5"/>
    </row>
    <row r="14" spans="1:3" x14ac:dyDescent="0.35">
      <c r="A14" s="5"/>
    </row>
    <row r="16" spans="1:3" x14ac:dyDescent="0.35">
      <c r="A16" s="6"/>
    </row>
  </sheetData>
  <mergeCells count="1">
    <mergeCell ref="A1: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8FB3-691F-4E02-807E-04B1F7BE3DF0}">
  <sheetPr>
    <tabColor rgb="FFFFC000"/>
  </sheetPr>
  <dimension ref="A1:N27"/>
  <sheetViews>
    <sheetView workbookViewId="0">
      <selection activeCell="G16" sqref="G16"/>
    </sheetView>
  </sheetViews>
  <sheetFormatPr defaultRowHeight="14.5" x14ac:dyDescent="0.35"/>
  <cols>
    <col min="1" max="1" width="13.08984375" bestFit="1" customWidth="1"/>
    <col min="2" max="2" width="7.36328125" bestFit="1" customWidth="1"/>
    <col min="3" max="3" width="4.453125" customWidth="1"/>
    <col min="4" max="4" width="0.26953125" customWidth="1"/>
    <col min="5" max="5" width="13.7265625" bestFit="1" customWidth="1"/>
    <col min="6" max="6" width="13.08984375" bestFit="1" customWidth="1"/>
    <col min="7" max="7" width="14.1796875" customWidth="1"/>
    <col min="8" max="8" width="8.984375E-2" customWidth="1"/>
    <col min="9" max="9" width="13.90625" bestFit="1" customWidth="1"/>
    <col min="10" max="10" width="13.08984375" bestFit="1" customWidth="1"/>
    <col min="11" max="11" width="15.08984375" bestFit="1" customWidth="1"/>
    <col min="12" max="12" width="0.1796875" customWidth="1"/>
    <col min="13" max="13" width="14.453125" bestFit="1" customWidth="1"/>
    <col min="14" max="14" width="13.08984375" bestFit="1" customWidth="1"/>
  </cols>
  <sheetData>
    <row r="1" spans="1:14" x14ac:dyDescent="0.35">
      <c r="A1" s="18" t="s">
        <v>62</v>
      </c>
      <c r="B1" s="19"/>
      <c r="C1" s="19"/>
      <c r="D1" s="19"/>
      <c r="E1" s="19"/>
      <c r="F1" s="19"/>
      <c r="G1" s="19"/>
      <c r="H1" s="19"/>
      <c r="I1" s="19"/>
      <c r="J1" s="19"/>
      <c r="K1" s="19"/>
      <c r="L1" s="19"/>
      <c r="M1" s="19"/>
    </row>
    <row r="2" spans="1:14" x14ac:dyDescent="0.35">
      <c r="A2" s="19"/>
      <c r="B2" s="19"/>
      <c r="C2" s="19"/>
      <c r="D2" s="19"/>
      <c r="E2" s="19"/>
      <c r="F2" s="19"/>
      <c r="G2" s="19"/>
      <c r="H2" s="19"/>
      <c r="I2" s="19"/>
      <c r="J2" s="19"/>
      <c r="K2" s="19"/>
      <c r="L2" s="19"/>
      <c r="M2" s="19"/>
    </row>
    <row r="3" spans="1:14" x14ac:dyDescent="0.35">
      <c r="A3" s="10" t="s">
        <v>72</v>
      </c>
      <c r="B3" s="10" t="s">
        <v>58</v>
      </c>
      <c r="C3" s="13"/>
      <c r="D3" s="10"/>
      <c r="E3" s="10" t="s">
        <v>59</v>
      </c>
      <c r="F3" s="10"/>
      <c r="G3" s="10" t="s">
        <v>60</v>
      </c>
      <c r="H3" s="10"/>
      <c r="I3" s="10" t="s">
        <v>57</v>
      </c>
      <c r="J3" s="10"/>
      <c r="K3" s="10" t="s">
        <v>75</v>
      </c>
      <c r="L3" s="10"/>
      <c r="M3" s="10" t="s">
        <v>61</v>
      </c>
    </row>
    <row r="4" spans="1:14" x14ac:dyDescent="0.35">
      <c r="A4" s="11">
        <v>100</v>
      </c>
      <c r="B4" s="11">
        <v>16.489999999999998</v>
      </c>
      <c r="C4" s="13"/>
      <c r="D4" s="10"/>
      <c r="E4" s="11">
        <v>2.9870000000000001</v>
      </c>
      <c r="F4" s="10"/>
      <c r="G4" s="12">
        <v>4.34</v>
      </c>
      <c r="H4" s="10"/>
      <c r="I4" s="11">
        <v>64.77</v>
      </c>
      <c r="J4" s="10"/>
      <c r="K4" s="11">
        <v>68.7</v>
      </c>
      <c r="L4" s="10"/>
      <c r="M4" s="11">
        <v>3.9300000000000068</v>
      </c>
    </row>
    <row r="5" spans="1:14" x14ac:dyDescent="0.35">
      <c r="C5" s="7"/>
      <c r="D5" s="7"/>
      <c r="G5" s="7"/>
      <c r="H5" s="7"/>
      <c r="K5" s="7"/>
      <c r="L5" s="7"/>
    </row>
    <row r="6" spans="1:14" hidden="1" x14ac:dyDescent="0.35">
      <c r="C6" s="7"/>
      <c r="D6" s="7"/>
      <c r="G6" s="7"/>
      <c r="H6" s="7"/>
      <c r="K6" s="7"/>
      <c r="L6" s="7"/>
    </row>
    <row r="7" spans="1:14" x14ac:dyDescent="0.35">
      <c r="A7" s="8" t="s">
        <v>65</v>
      </c>
      <c r="B7" s="8" t="s">
        <v>72</v>
      </c>
      <c r="C7" s="7"/>
      <c r="D7" s="7"/>
      <c r="E7" s="8" t="s">
        <v>73</v>
      </c>
      <c r="F7" s="8" t="s">
        <v>72</v>
      </c>
      <c r="G7" s="7"/>
      <c r="H7" s="7"/>
      <c r="I7" s="8" t="s">
        <v>66</v>
      </c>
      <c r="J7" s="8" t="s">
        <v>72</v>
      </c>
      <c r="K7" s="7"/>
      <c r="L7" s="7"/>
      <c r="M7" s="8" t="s">
        <v>67</v>
      </c>
      <c r="N7" s="8" t="s">
        <v>72</v>
      </c>
    </row>
    <row r="8" spans="1:14" x14ac:dyDescent="0.35">
      <c r="A8" s="8" t="s">
        <v>25</v>
      </c>
      <c r="B8" s="9">
        <v>36</v>
      </c>
      <c r="C8" s="7"/>
      <c r="D8" s="7"/>
      <c r="E8" s="8" t="s">
        <v>15</v>
      </c>
      <c r="F8" s="9">
        <v>48</v>
      </c>
      <c r="G8" s="7"/>
      <c r="H8" s="7"/>
      <c r="I8" s="8" t="s">
        <v>16</v>
      </c>
      <c r="J8" s="9">
        <v>60</v>
      </c>
      <c r="K8" s="7"/>
      <c r="L8" s="7"/>
      <c r="M8" s="8" t="s">
        <v>17</v>
      </c>
      <c r="N8" s="9">
        <v>60</v>
      </c>
    </row>
    <row r="9" spans="1:14" x14ac:dyDescent="0.35">
      <c r="A9" s="8" t="s">
        <v>31</v>
      </c>
      <c r="B9" s="9">
        <v>29</v>
      </c>
      <c r="C9" s="7"/>
      <c r="D9" s="7"/>
      <c r="E9" s="8" t="s">
        <v>21</v>
      </c>
      <c r="F9" s="9">
        <v>52</v>
      </c>
      <c r="G9" s="7"/>
      <c r="H9" s="7"/>
      <c r="I9" s="8" t="s">
        <v>22</v>
      </c>
      <c r="J9" s="9">
        <v>40</v>
      </c>
      <c r="K9" s="7"/>
      <c r="L9" s="7"/>
      <c r="M9" s="8" t="s">
        <v>23</v>
      </c>
      <c r="N9" s="9">
        <v>14</v>
      </c>
    </row>
    <row r="10" spans="1:14" x14ac:dyDescent="0.35">
      <c r="A10" s="8" t="s">
        <v>18</v>
      </c>
      <c r="B10" s="9">
        <v>35</v>
      </c>
      <c r="C10" s="7"/>
      <c r="D10" s="7"/>
      <c r="E10" s="8" t="s">
        <v>64</v>
      </c>
      <c r="F10" s="9">
        <v>100</v>
      </c>
      <c r="G10" s="7"/>
      <c r="H10" s="7"/>
      <c r="I10" s="8" t="s">
        <v>64</v>
      </c>
      <c r="J10" s="9">
        <v>100</v>
      </c>
      <c r="K10" s="7"/>
      <c r="L10" s="7"/>
      <c r="M10" s="8" t="s">
        <v>33</v>
      </c>
      <c r="N10" s="9">
        <v>13</v>
      </c>
    </row>
    <row r="11" spans="1:14" x14ac:dyDescent="0.35">
      <c r="A11" s="8" t="s">
        <v>64</v>
      </c>
      <c r="B11" s="9">
        <v>100</v>
      </c>
      <c r="C11" s="7"/>
      <c r="D11" s="7"/>
      <c r="G11" s="7"/>
      <c r="H11" s="7"/>
      <c r="K11" s="7"/>
      <c r="L11" s="7"/>
      <c r="M11" s="8" t="s">
        <v>32</v>
      </c>
      <c r="N11" s="9">
        <v>13</v>
      </c>
    </row>
    <row r="12" spans="1:14" x14ac:dyDescent="0.35">
      <c r="C12" s="7"/>
      <c r="D12" s="7"/>
      <c r="G12" s="7"/>
      <c r="H12" s="7"/>
      <c r="K12" s="7"/>
      <c r="L12" s="7"/>
      <c r="M12" s="8" t="s">
        <v>64</v>
      </c>
      <c r="N12" s="9">
        <v>100</v>
      </c>
    </row>
    <row r="13" spans="1:14" ht="14" customHeight="1" x14ac:dyDescent="0.35">
      <c r="C13" s="7"/>
      <c r="D13" s="7"/>
      <c r="G13" s="7"/>
      <c r="H13" s="7"/>
      <c r="K13" s="7"/>
      <c r="L13" s="7"/>
    </row>
    <row r="14" spans="1:14" x14ac:dyDescent="0.35">
      <c r="A14" s="8" t="s">
        <v>68</v>
      </c>
      <c r="B14" s="8" t="s">
        <v>72</v>
      </c>
      <c r="C14" s="7"/>
      <c r="D14" s="7"/>
      <c r="E14" s="8" t="s">
        <v>69</v>
      </c>
      <c r="F14" s="8" t="s">
        <v>72</v>
      </c>
      <c r="G14" s="7"/>
      <c r="H14" s="7"/>
      <c r="I14" s="8" t="s">
        <v>70</v>
      </c>
      <c r="J14" s="8" t="s">
        <v>72</v>
      </c>
      <c r="K14" s="7"/>
      <c r="L14" s="7"/>
    </row>
    <row r="15" spans="1:14" x14ac:dyDescent="0.35">
      <c r="A15" s="8" t="s">
        <v>35</v>
      </c>
      <c r="B15" s="9">
        <v>13</v>
      </c>
      <c r="C15" s="7"/>
      <c r="D15" s="7"/>
      <c r="E15" s="8" t="s">
        <v>19</v>
      </c>
      <c r="F15" s="9">
        <v>42</v>
      </c>
      <c r="G15" s="7"/>
      <c r="H15" s="7"/>
      <c r="I15" s="8" t="s">
        <v>80</v>
      </c>
      <c r="J15" s="9">
        <v>29</v>
      </c>
      <c r="K15" s="7"/>
      <c r="L15" s="7"/>
      <c r="M15" s="8" t="s">
        <v>71</v>
      </c>
      <c r="N15" s="8" t="s">
        <v>72</v>
      </c>
    </row>
    <row r="16" spans="1:14" x14ac:dyDescent="0.35">
      <c r="A16" s="8" t="s">
        <v>27</v>
      </c>
      <c r="B16" s="9">
        <v>13</v>
      </c>
      <c r="C16" s="7"/>
      <c r="D16" s="7"/>
      <c r="E16" s="8" t="s">
        <v>28</v>
      </c>
      <c r="F16" s="9">
        <v>26</v>
      </c>
      <c r="G16" s="7"/>
      <c r="H16" s="7"/>
      <c r="I16" s="8" t="s">
        <v>82</v>
      </c>
      <c r="J16" s="9">
        <v>25</v>
      </c>
      <c r="K16" s="7"/>
      <c r="L16" s="7"/>
      <c r="M16" s="8" t="s">
        <v>29</v>
      </c>
      <c r="N16" s="9">
        <v>24</v>
      </c>
    </row>
    <row r="17" spans="1:14" x14ac:dyDescent="0.35">
      <c r="A17" s="8" t="s">
        <v>17</v>
      </c>
      <c r="B17" s="9">
        <v>60</v>
      </c>
      <c r="C17" s="7"/>
      <c r="D17" s="7"/>
      <c r="E17" s="8" t="s">
        <v>34</v>
      </c>
      <c r="F17" s="9">
        <v>32</v>
      </c>
      <c r="G17" s="7"/>
      <c r="H17" s="7"/>
      <c r="I17" s="8" t="s">
        <v>81</v>
      </c>
      <c r="J17" s="9">
        <v>46</v>
      </c>
      <c r="K17" s="7"/>
      <c r="L17" s="7"/>
      <c r="M17" s="8" t="s">
        <v>26</v>
      </c>
      <c r="N17" s="9">
        <v>32</v>
      </c>
    </row>
    <row r="18" spans="1:14" x14ac:dyDescent="0.35">
      <c r="A18" s="8" t="s">
        <v>24</v>
      </c>
      <c r="B18" s="9">
        <v>14</v>
      </c>
      <c r="C18" s="7"/>
      <c r="D18" s="7"/>
      <c r="E18" s="8" t="s">
        <v>64</v>
      </c>
      <c r="F18" s="9">
        <v>100</v>
      </c>
      <c r="G18" s="7"/>
      <c r="H18" s="7"/>
      <c r="I18" s="8" t="s">
        <v>64</v>
      </c>
      <c r="J18" s="9">
        <v>100</v>
      </c>
      <c r="K18" s="7"/>
      <c r="L18" s="7"/>
      <c r="M18" s="8" t="s">
        <v>20</v>
      </c>
      <c r="N18" s="9">
        <v>44</v>
      </c>
    </row>
    <row r="19" spans="1:14" x14ac:dyDescent="0.35">
      <c r="A19" s="8" t="s">
        <v>64</v>
      </c>
      <c r="B19" s="9">
        <v>100</v>
      </c>
      <c r="C19" s="7"/>
      <c r="D19" s="7"/>
      <c r="G19" s="7"/>
      <c r="H19" s="7"/>
      <c r="K19" s="7"/>
      <c r="L19" s="7"/>
      <c r="M19" s="8" t="s">
        <v>64</v>
      </c>
      <c r="N19" s="9">
        <v>100</v>
      </c>
    </row>
    <row r="20" spans="1:14" x14ac:dyDescent="0.35">
      <c r="C20" s="7"/>
      <c r="D20" s="7"/>
      <c r="G20" s="7"/>
      <c r="H20" s="7"/>
      <c r="K20" s="7"/>
      <c r="L20" s="7"/>
    </row>
    <row r="21" spans="1:14" ht="2" customHeight="1" x14ac:dyDescent="0.35">
      <c r="C21" s="7"/>
      <c r="D21" s="7"/>
      <c r="G21" s="7"/>
      <c r="H21" s="7"/>
      <c r="K21" s="7"/>
      <c r="L21" s="7"/>
    </row>
    <row r="22" spans="1:14" x14ac:dyDescent="0.35">
      <c r="A22" s="8" t="s">
        <v>76</v>
      </c>
      <c r="B22" s="8" t="s">
        <v>72</v>
      </c>
      <c r="C22" s="7"/>
      <c r="D22" s="7"/>
      <c r="G22" s="7"/>
      <c r="H22" s="7"/>
      <c r="K22" s="7"/>
      <c r="L22" s="7"/>
    </row>
    <row r="23" spans="1:14" x14ac:dyDescent="0.35">
      <c r="A23" s="8" t="s">
        <v>26</v>
      </c>
      <c r="B23" s="9">
        <v>21</v>
      </c>
      <c r="C23" s="7"/>
      <c r="D23" s="7"/>
      <c r="G23" s="7"/>
      <c r="H23" s="7"/>
      <c r="K23" s="7"/>
      <c r="L23" s="7"/>
    </row>
    <row r="24" spans="1:14" x14ac:dyDescent="0.35">
      <c r="A24" s="8" t="s">
        <v>20</v>
      </c>
      <c r="B24" s="9">
        <v>35</v>
      </c>
      <c r="C24" s="7"/>
      <c r="D24" s="7"/>
      <c r="G24" s="7"/>
      <c r="H24" s="7"/>
      <c r="K24" s="7"/>
      <c r="L24" s="7"/>
    </row>
    <row r="25" spans="1:14" x14ac:dyDescent="0.35">
      <c r="A25" s="8" t="s">
        <v>30</v>
      </c>
      <c r="B25" s="9">
        <v>44</v>
      </c>
      <c r="C25" s="7"/>
      <c r="D25" s="7"/>
      <c r="G25" s="7"/>
      <c r="H25" s="7"/>
      <c r="K25" s="7"/>
      <c r="L25" s="7"/>
    </row>
    <row r="26" spans="1:14" x14ac:dyDescent="0.35">
      <c r="A26" s="8" t="s">
        <v>64</v>
      </c>
      <c r="B26" s="9">
        <v>100</v>
      </c>
      <c r="C26" s="7"/>
      <c r="D26" s="7"/>
      <c r="G26" s="7"/>
      <c r="H26" s="7"/>
      <c r="K26" s="7"/>
      <c r="L26" s="7"/>
    </row>
    <row r="27" spans="1:14" x14ac:dyDescent="0.35">
      <c r="C27" s="7"/>
      <c r="D27" s="7"/>
      <c r="G27" s="7"/>
      <c r="H27" s="7"/>
      <c r="K27" s="7"/>
      <c r="L27" s="7"/>
    </row>
  </sheetData>
  <mergeCells count="1">
    <mergeCell ref="A1:M2"/>
  </mergeCells>
  <pageMargins left="0.7" right="0.7" top="0.75" bottom="0.75" header="0.3" footer="0.3"/>
  <drawing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5EFDE7-626C-4ACC-8A30-D1B6A88F0B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I</vt:lpstr>
      <vt:lpstr>Student_AI_Usage_Dataset</vt:lpstr>
      <vt:lpstr>Data Dictionary</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 daacad</dc:creator>
  <cp:lastModifiedBy>moha daacad</cp:lastModifiedBy>
  <dcterms:created xsi:type="dcterms:W3CDTF">2015-06-05T18:17:20Z</dcterms:created>
  <dcterms:modified xsi:type="dcterms:W3CDTF">2026-06-25T13:15:18Z</dcterms:modified>
</cp:coreProperties>
</file>